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ad me" sheetId="1" state="visible" r:id="rId1"/>
    <sheet xmlns:r="http://schemas.openxmlformats.org/officeDocument/2006/relationships" name="2. Site list" sheetId="2" state="visible" r:id="rId2"/>
    <sheet xmlns:r="http://schemas.openxmlformats.org/officeDocument/2006/relationships" name="3. Facility capacity" sheetId="3" state="visible" r:id="rId3"/>
    <sheet xmlns:r="http://schemas.openxmlformats.org/officeDocument/2006/relationships" name="4. Activity capacity" sheetId="4" state="visible" r:id="rId4"/>
    <sheet xmlns:r="http://schemas.openxmlformats.org/officeDocument/2006/relationships" name="5. Delivery and drivers" sheetId="5" state="visible" r:id="rId5"/>
    <sheet xmlns:r="http://schemas.openxmlformats.org/officeDocument/2006/relationships" name="6. Questions" sheetId="6" state="visible" r:id="rId6"/>
  </sheets>
  <definedNames/>
  <calcPr calcId="124519" fullCalcOnLoad="1"/>
</workbook>
</file>

<file path=xl/styles.xml><?xml version="1.0" encoding="utf-8"?>
<styleSheet xmlns="http://schemas.openxmlformats.org/spreadsheetml/2006/main">
  <numFmts count="1">
    <numFmt numFmtId="164" formatCode="0.000"/>
  </numFmts>
  <fonts count="11">
    <font>
      <name val="Calibri"/>
      <family val="2"/>
      <color theme="1"/>
      <sz val="11"/>
      <scheme val="minor"/>
    </font>
    <font>
      <b val="1"/>
      <color rgb="001F3864"/>
      <sz val="14"/>
    </font>
    <font>
      <b val="1"/>
      <sz val="10"/>
    </font>
    <font>
      <sz val="10"/>
    </font>
    <font>
      <b val="1"/>
      <color rgb="001F3864"/>
      <sz val="11"/>
    </font>
    <font>
      <b val="1"/>
      <color rgb="00C00000"/>
      <sz val="10"/>
    </font>
    <font>
      <b val="1"/>
      <color rgb="00375623"/>
      <sz val="10"/>
    </font>
    <font>
      <b val="1"/>
      <color rgb="00FFFFFF"/>
      <sz val="10"/>
    </font>
    <font>
      <color rgb="00C00000"/>
      <sz val="10"/>
    </font>
    <font>
      <color rgb="00375623"/>
      <sz val="10"/>
    </font>
    <font>
      <i val="1"/>
      <sz val="10"/>
    </font>
  </fonts>
  <fills count="9">
    <fill>
      <patternFill/>
    </fill>
    <fill>
      <patternFill patternType="gray125"/>
    </fill>
    <fill>
      <patternFill patternType="solid">
        <fgColor rgb="00D9D9D9"/>
      </patternFill>
    </fill>
    <fill>
      <patternFill patternType="solid">
        <fgColor rgb="00FFF2CC"/>
      </patternFill>
    </fill>
    <fill>
      <patternFill patternType="solid">
        <fgColor rgb="001F3864"/>
      </patternFill>
    </fill>
    <fill>
      <patternFill patternType="solid">
        <fgColor rgb="00FFFDF2"/>
      </patternFill>
    </fill>
    <fill>
      <patternFill patternType="solid">
        <fgColor rgb="00F2F2F2"/>
      </patternFill>
    </fill>
    <fill>
      <patternFill patternType="solid">
        <fgColor rgb="00FFFFFF"/>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2" fillId="2" borderId="0" pivotButton="0" quotePrefix="0" xfId="0"/>
    <xf numFmtId="0" fontId="2" fillId="3" borderId="0" pivotButton="0" quotePrefix="0" xfId="0"/>
    <xf numFmtId="0" fontId="5" fillId="0" borderId="0" pivotButton="0" quotePrefix="0" xfId="0"/>
    <xf numFmtId="0" fontId="6" fillId="0" borderId="0" pivotButton="0" quotePrefix="0" xfId="0"/>
    <xf numFmtId="0" fontId="7" fillId="4"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5" borderId="1" applyAlignment="1" pivotButton="0" quotePrefix="0" xfId="0">
      <alignment vertical="top" wrapText="1"/>
    </xf>
    <xf numFmtId="0" fontId="2"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center" vertical="center" wrapText="1"/>
    </xf>
    <xf numFmtId="0" fontId="2" fillId="6" borderId="1" applyAlignment="1" pivotButton="0" quotePrefix="0" xfId="0">
      <alignment vertical="top" wrapText="1"/>
    </xf>
    <xf numFmtId="0" fontId="0" fillId="6" borderId="1" applyAlignment="1" pivotButton="0" quotePrefix="0" xfId="0">
      <alignment vertical="top" wrapText="1"/>
    </xf>
    <xf numFmtId="0" fontId="8" fillId="6"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1" applyAlignment="1" pivotButton="0" quotePrefix="0" xfId="0">
      <alignment vertical="top" wrapText="1"/>
    </xf>
    <xf numFmtId="0" fontId="8" fillId="5" borderId="1" applyAlignment="1" pivotButton="0" quotePrefix="0" xfId="0">
      <alignment horizontal="center" vertical="center" wrapText="1"/>
    </xf>
    <xf numFmtId="3" fontId="0" fillId="6" borderId="1" applyAlignment="1" pivotButton="0" quotePrefix="0" xfId="0">
      <alignment horizontal="center" vertical="center" wrapText="1"/>
    </xf>
    <xf numFmtId="3" fontId="9" fillId="6"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10" fillId="0" borderId="0" applyAlignment="1" pivotButton="0" quotePrefix="0" xfId="0">
      <alignment vertical="top" wrapText="1"/>
    </xf>
    <xf numFmtId="0" fontId="2" fillId="7" borderId="1" applyAlignment="1" pivotButton="0" quotePrefix="0" xfId="0">
      <alignment horizontal="center" vertical="center" wrapText="1"/>
    </xf>
    <xf numFmtId="0" fontId="3" fillId="0" borderId="1" applyAlignment="1" pivotButton="0" quotePrefix="0" xfId="0">
      <alignment horizontal="center" vertical="center" wrapText="1"/>
    </xf>
    <xf numFmtId="3" fontId="8" fillId="6" borderId="1" applyAlignment="1" pivotButton="0" quotePrefix="0" xfId="0">
      <alignment horizontal="center" vertical="center" wrapText="1"/>
    </xf>
    <xf numFmtId="164" fontId="8" fillId="6" borderId="1" applyAlignment="1" pivotButton="0" quotePrefix="0" xfId="0">
      <alignment horizontal="center" vertical="center" wrapText="1"/>
    </xf>
    <xf numFmtId="0" fontId="3" fillId="5" borderId="1" applyAlignment="1" pivotButton="0" quotePrefix="0" xfId="0">
      <alignment horizontal="center" vertical="center" wrapText="1"/>
    </xf>
    <xf numFmtId="3" fontId="10" fillId="8" borderId="1" applyAlignment="1" pivotButton="0" quotePrefix="0" xfId="0">
      <alignment horizontal="center"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24"/>
  <sheetViews>
    <sheetView workbookViewId="0">
      <selection activeCell="A1" sqref="A1"/>
    </sheetView>
  </sheetViews>
  <sheetFormatPr baseColWidth="8" defaultRowHeight="15"/>
  <cols>
    <col width="4" customWidth="1" min="1" max="1"/>
    <col width="30" customWidth="1" min="2" max="2"/>
    <col width="105" customWidth="1" min="3" max="3"/>
  </cols>
  <sheetData>
    <row r="1">
      <c r="B1" s="1" t="inlineStr">
        <is>
          <t>Melbourne network model — capacity and cost data request</t>
        </is>
      </c>
    </row>
    <row r="3" ht="30" customHeight="1">
      <c r="B3" s="2" t="inlineStr">
        <is>
          <t>What this is</t>
        </is>
      </c>
      <c r="C3" s="3" t="inlineStr">
        <is>
          <t>We are building a model of the Melbourne parcel network. It needs real capacity and cost numbers for each site. We have filled in what the model uses today so you only need to confirm or correct it, not start from scratch.</t>
        </is>
      </c>
    </row>
    <row r="4" ht="30" customHeight="1">
      <c r="B4" s="2" t="inlineStr">
        <is>
          <t>What we need from you</t>
        </is>
      </c>
      <c r="C4" s="3" t="inlineStr">
        <is>
          <t>Complete the yellow columns on tabs 3, 4 and 5 for your site(s). Grey columns are what the model assumes now — read only, do not edit.</t>
        </is>
      </c>
    </row>
    <row r="5" ht="30" customHeight="1">
      <c r="B5" s="2" t="inlineStr">
        <is>
          <t>Why it matters</t>
        </is>
      </c>
      <c r="C5" s="3" t="inlineStr">
        <is>
          <t>Most of the cost and capacity figures in the model are our estimates. Where we have guessed, the number is shown in red. Those are the ones we most need corrected.</t>
        </is>
      </c>
    </row>
    <row r="6" ht="15" customHeight="1">
      <c r="B6" s="2" t="inlineStr">
        <is>
          <t>Return by</t>
        </is>
      </c>
      <c r="C6" s="3" t="inlineStr">
        <is>
          <t>&lt;date&gt;</t>
        </is>
      </c>
    </row>
    <row r="7" ht="15" customHeight="1">
      <c r="B7" s="2" t="inlineStr">
        <is>
          <t>Questions to</t>
        </is>
      </c>
      <c r="C7" s="3" t="inlineStr">
        <is>
          <t>&lt;name / email&gt;</t>
        </is>
      </c>
    </row>
    <row r="9">
      <c r="B9" s="4" t="inlineStr">
        <is>
          <t>Colour key</t>
        </is>
      </c>
    </row>
    <row r="10" ht="15" customHeight="1">
      <c r="B10" s="2" t="inlineStr">
        <is>
          <t>Grey</t>
        </is>
      </c>
      <c r="C10" s="3" t="inlineStr">
        <is>
          <t>What the model assumes today. Read only.</t>
        </is>
      </c>
    </row>
    <row r="11" ht="15" customHeight="1">
      <c r="B11" s="5" t="inlineStr">
        <is>
          <t>Yellow</t>
        </is>
      </c>
      <c r="C11" s="3" t="inlineStr">
        <is>
          <t>Please complete.</t>
        </is>
      </c>
    </row>
    <row r="12" ht="15" customHeight="1">
      <c r="B12" s="6" t="inlineStr">
        <is>
          <t>Red text</t>
        </is>
      </c>
      <c r="C12" s="3" t="inlineStr">
        <is>
          <t>A number we invented as a placeholder. Please correct it.</t>
        </is>
      </c>
    </row>
    <row r="13" ht="15" customHeight="1">
      <c r="B13" s="7" t="inlineStr">
        <is>
          <t>Green text</t>
        </is>
      </c>
      <c r="C13" s="3" t="inlineStr">
        <is>
          <t>A number already given to us by ops. Please confirm it is still right.</t>
        </is>
      </c>
    </row>
    <row r="14">
      <c r="B14" s="8" t="n"/>
    </row>
    <row r="15">
      <c r="B15" s="4" t="inlineStr">
        <is>
          <t>Tabs</t>
        </is>
      </c>
    </row>
    <row r="16" ht="15" customHeight="1">
      <c r="B16" s="2" t="inlineStr">
        <is>
          <t>2. Site list</t>
        </is>
      </c>
      <c r="C16" s="3" t="inlineStr">
        <is>
          <t>Every site in the model and how we currently treat it. Check your site is listed correctly.</t>
        </is>
      </c>
    </row>
    <row r="17" ht="15" customHeight="1">
      <c r="B17" s="2" t="inlineStr">
        <is>
          <t>3. Facility capacity</t>
        </is>
      </c>
      <c r="C17" s="3" t="inlineStr">
        <is>
          <t>Whole-site throughput and fixed cost, one row per site.</t>
        </is>
      </c>
    </row>
    <row r="18" ht="15" customHeight="1">
      <c r="B18" s="2" t="inlineStr">
        <is>
          <t>4. Activity capacity</t>
        </is>
      </c>
      <c r="C18" s="3" t="inlineStr">
        <is>
          <t>Machine by machine capacity and cost. The main tab.</t>
        </is>
      </c>
    </row>
    <row r="19" ht="15" customHeight="1">
      <c r="B19" s="2" t="inlineStr">
        <is>
          <t>5. Delivery and drivers</t>
        </is>
      </c>
      <c r="C19" s="3" t="inlineStr">
        <is>
          <t>PDC delivery round, van loading and driver cost.</t>
        </is>
      </c>
    </row>
    <row r="20" ht="15" customHeight="1">
      <c r="B20" s="2" t="inlineStr">
        <is>
          <t>6. Questions</t>
        </is>
      </c>
      <c r="C20" s="3" t="inlineStr">
        <is>
          <t>A short list of yes/no questions about how the sites actually run.</t>
        </is>
      </c>
    </row>
    <row r="22">
      <c r="B22" s="4" t="inlineStr">
        <is>
          <t>Two things to be aware of</t>
        </is>
      </c>
    </row>
    <row r="23" ht="30" customHeight="1">
      <c r="B23" s="2" t="inlineStr">
        <is>
          <t>Machine counts</t>
        </is>
      </c>
      <c r="C23" s="3" t="inlineStr">
        <is>
          <t>The model currently assumes ONE machine of each type at each hub. If that is wrong the whole capacity picture changes, so the machine count column on tab 4 is the single most important number in this workbook.</t>
        </is>
      </c>
    </row>
    <row r="24" ht="30" customHeight="1">
      <c r="B24" s="2" t="inlineStr">
        <is>
          <t>Basis</t>
        </is>
      </c>
      <c r="C24" s="3" t="inlineStr">
        <is>
          <t>Every capacity figure should be for a normal weekday, not a peak day. Tell us separately if peak is materially different.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20" customWidth="1" min="3" max="3"/>
    <col width="22" customWidth="1" min="4" max="4"/>
    <col width="46" customWidth="1" min="5" max="5"/>
  </cols>
  <sheetData>
    <row r="1" ht="42" customHeight="1">
      <c r="A1" s="9" t="inlineStr">
        <is>
          <t>Site</t>
        </is>
      </c>
      <c r="B1" s="9" t="inlineStr">
        <is>
          <t>Role in the model</t>
        </is>
      </c>
      <c r="C1" s="9" t="inlineStr">
        <is>
          <t>Sorts on site?</t>
        </is>
      </c>
      <c r="D1" s="9" t="inlineStr">
        <is>
          <t>Does first-mile pickup?</t>
        </is>
      </c>
      <c r="E1" s="9" t="inlineStr">
        <is>
          <t>Notes / is this right?</t>
        </is>
      </c>
    </row>
    <row r="2" ht="30" customHeight="1">
      <c r="A2" s="10" t="inlineStr">
        <is>
          <t>Melbourne Gateway Facility</t>
        </is>
      </c>
      <c r="B2" s="11" t="inlineStr">
        <is>
          <t>Hub</t>
        </is>
      </c>
      <c r="C2" s="11" t="inlineStr">
        <is>
          <t>Yes</t>
        </is>
      </c>
      <c r="D2" s="11" t="inlineStr">
        <is>
          <t>No</t>
        </is>
      </c>
      <c r="E2" s="12" t="inlineStr"/>
    </row>
    <row r="3" ht="30" customHeight="1">
      <c r="A3" s="10" t="inlineStr">
        <is>
          <t>Melbourne Parcel Facility</t>
        </is>
      </c>
      <c r="B3" s="11" t="inlineStr">
        <is>
          <t>Hub</t>
        </is>
      </c>
      <c r="C3" s="11" t="inlineStr">
        <is>
          <t>Yes</t>
        </is>
      </c>
      <c r="D3" s="11" t="inlineStr">
        <is>
          <t>No</t>
        </is>
      </c>
      <c r="E3" s="12" t="inlineStr"/>
    </row>
    <row r="4" ht="30" customHeight="1">
      <c r="A4" s="10" t="inlineStr">
        <is>
          <t>Tullamarine Parcel Facility</t>
        </is>
      </c>
      <c r="B4" s="11" t="inlineStr">
        <is>
          <t>Hub</t>
        </is>
      </c>
      <c r="C4" s="11" t="inlineStr">
        <is>
          <t>Yes</t>
        </is>
      </c>
      <c r="D4" s="11" t="inlineStr">
        <is>
          <t>No</t>
        </is>
      </c>
      <c r="E4" s="12" t="inlineStr"/>
    </row>
    <row r="5" ht="30" customHeight="1">
      <c r="A5" s="10" t="inlineStr">
        <is>
          <t>Dandenong Letter Center</t>
        </is>
      </c>
      <c r="B5" s="11" t="inlineStr">
        <is>
          <t>Hub (also being tested as a PDC)</t>
        </is>
      </c>
      <c r="C5" s="11" t="inlineStr">
        <is>
          <t>Yes</t>
        </is>
      </c>
      <c r="D5" s="11" t="inlineStr">
        <is>
          <t>Being tested</t>
        </is>
      </c>
      <c r="E5" s="12" t="inlineStr">
        <is>
          <t>We are testing a scenario where this site becomes a PDC instead of a hub. Please answer for it as it runs today.</t>
        </is>
      </c>
    </row>
    <row r="6" ht="30" customHeight="1">
      <c r="A6" s="10" t="inlineStr">
        <is>
          <t>Sunshine West PDC</t>
        </is>
      </c>
      <c r="B6" s="11" t="inlineStr">
        <is>
          <t>PDC</t>
        </is>
      </c>
      <c r="C6" s="11" t="inlineStr">
        <is>
          <t>Yes</t>
        </is>
      </c>
      <c r="D6" s="11" t="inlineStr">
        <is>
          <t>Yes</t>
        </is>
      </c>
      <c r="E6" s="12" t="inlineStr"/>
    </row>
    <row r="7" ht="30" customHeight="1">
      <c r="A7" s="10" t="inlineStr">
        <is>
          <t>Melbourne North PDC</t>
        </is>
      </c>
      <c r="B7" s="11" t="inlineStr">
        <is>
          <t>PDC</t>
        </is>
      </c>
      <c r="C7" s="11" t="inlineStr">
        <is>
          <t>Yes</t>
        </is>
      </c>
      <c r="D7" s="11" t="inlineStr">
        <is>
          <t>Yes</t>
        </is>
      </c>
      <c r="E7" s="12" t="inlineStr"/>
    </row>
    <row r="8" ht="30" customHeight="1">
      <c r="A8" s="10" t="inlineStr">
        <is>
          <t>Bayswater PDC</t>
        </is>
      </c>
      <c r="B8" s="11" t="inlineStr">
        <is>
          <t>PDC</t>
        </is>
      </c>
      <c r="C8" s="11" t="inlineStr">
        <is>
          <t>Yes</t>
        </is>
      </c>
      <c r="D8" s="11" t="inlineStr">
        <is>
          <t>Yes</t>
        </is>
      </c>
      <c r="E8" s="12" t="inlineStr"/>
    </row>
    <row r="9" ht="30" customHeight="1">
      <c r="A9" s="10" t="inlineStr">
        <is>
          <t>Oakleigh South PDC</t>
        </is>
      </c>
      <c r="B9" s="11" t="inlineStr">
        <is>
          <t>PDC</t>
        </is>
      </c>
      <c r="C9" s="11" t="inlineStr">
        <is>
          <t>No</t>
        </is>
      </c>
      <c r="D9" s="11" t="inlineStr">
        <is>
          <t>Yes</t>
        </is>
      </c>
      <c r="E9" s="12" t="inlineStr"/>
    </row>
    <row r="10" ht="30" customHeight="1">
      <c r="A10" s="10" t="inlineStr">
        <is>
          <t>Dandenong South PDC</t>
        </is>
      </c>
      <c r="B10" s="11" t="inlineStr">
        <is>
          <t>PDC</t>
        </is>
      </c>
      <c r="C10" s="11" t="inlineStr">
        <is>
          <t>No</t>
        </is>
      </c>
      <c r="D10" s="11" t="inlineStr">
        <is>
          <t>Yes</t>
        </is>
      </c>
      <c r="E10" s="12" t="inlineStr"/>
    </row>
    <row r="11" ht="30" customHeight="1">
      <c r="A11" s="10" t="inlineStr">
        <is>
          <t>Darebin PDC</t>
        </is>
      </c>
      <c r="B11" s="11" t="inlineStr">
        <is>
          <t>PDC</t>
        </is>
      </c>
      <c r="C11" s="11" t="inlineStr">
        <is>
          <t>No</t>
        </is>
      </c>
      <c r="D11" s="11" t="inlineStr">
        <is>
          <t>No</t>
        </is>
      </c>
      <c r="E11" s="12" t="inlineStr"/>
    </row>
    <row r="12" ht="30" customHeight="1">
      <c r="A12" s="10" t="inlineStr">
        <is>
          <t>Tullamarine PDC</t>
        </is>
      </c>
      <c r="B12" s="11" t="inlineStr">
        <is>
          <t>PDC</t>
        </is>
      </c>
      <c r="C12" s="11" t="inlineStr">
        <is>
          <t>No</t>
        </is>
      </c>
      <c r="D12" s="11" t="inlineStr">
        <is>
          <t>No</t>
        </is>
      </c>
      <c r="E12" s="12" t="inlineStr"/>
    </row>
    <row r="13" ht="30" customHeight="1">
      <c r="A13" s="10" t="inlineStr">
        <is>
          <t>Pakenham PDC</t>
        </is>
      </c>
      <c r="B13" s="11" t="inlineStr">
        <is>
          <t>PDC</t>
        </is>
      </c>
      <c r="C13" s="11" t="inlineStr">
        <is>
          <t>No</t>
        </is>
      </c>
      <c r="D13" s="11" t="inlineStr">
        <is>
          <t>No</t>
        </is>
      </c>
      <c r="E13" s="12" t="inlineStr"/>
    </row>
    <row r="14" ht="30" customHeight="1">
      <c r="A14" s="10" t="inlineStr">
        <is>
          <t>Mulgrave PDC</t>
        </is>
      </c>
      <c r="B14" s="11" t="inlineStr">
        <is>
          <t>PDC</t>
        </is>
      </c>
      <c r="C14" s="11" t="inlineStr">
        <is>
          <t>No</t>
        </is>
      </c>
      <c r="D14" s="11" t="inlineStr">
        <is>
          <t>No</t>
        </is>
      </c>
      <c r="E14" s="12" t="inlineStr"/>
    </row>
    <row r="15" ht="30" customHeight="1">
      <c r="A15" s="10" t="inlineStr">
        <is>
          <t>Mount Waverley PDC</t>
        </is>
      </c>
      <c r="B15" s="11" t="inlineStr">
        <is>
          <t>PDC</t>
        </is>
      </c>
      <c r="C15" s="11" t="inlineStr">
        <is>
          <t>No</t>
        </is>
      </c>
      <c r="D15" s="11" t="inlineStr">
        <is>
          <t>No</t>
        </is>
      </c>
      <c r="E15" s="12" t="inlineStr"/>
    </row>
    <row r="16" ht="30" customHeight="1">
      <c r="A16" s="10" t="inlineStr">
        <is>
          <t>Abbotsford Parcel Delivery</t>
        </is>
      </c>
      <c r="B16" s="11" t="inlineStr">
        <is>
          <t>PDC</t>
        </is>
      </c>
      <c r="C16" s="11" t="inlineStr">
        <is>
          <t>No</t>
        </is>
      </c>
      <c r="D16" s="11" t="inlineStr">
        <is>
          <t>No</t>
        </is>
      </c>
      <c r="E16" s="12" t="inlineStr"/>
    </row>
    <row r="17" ht="30" customHeight="1">
      <c r="A17" s="10" t="inlineStr">
        <is>
          <t>Dandenong Transport Facility</t>
        </is>
      </c>
      <c r="B17" s="11" t="inlineStr">
        <is>
          <t>First-mile pickup only</t>
        </is>
      </c>
      <c r="C17" s="11" t="inlineStr">
        <is>
          <t>No</t>
        </is>
      </c>
      <c r="D17" s="11" t="inlineStr">
        <is>
          <t>Yes</t>
        </is>
      </c>
      <c r="E17" s="12" t="inlineStr">
        <is>
          <t>No delivery round and no equipment modelled here. Correct?</t>
        </is>
      </c>
    </row>
    <row r="18" ht="30" customHeight="1">
      <c r="A18" s="10" t="inlineStr">
        <is>
          <t>Melbourne Transport</t>
        </is>
      </c>
      <c r="B18" s="11" t="inlineStr">
        <is>
          <t>First-mile pickup only</t>
        </is>
      </c>
      <c r="C18" s="11" t="inlineStr">
        <is>
          <t>No</t>
        </is>
      </c>
      <c r="D18" s="11" t="inlineStr">
        <is>
          <t>Yes</t>
        </is>
      </c>
      <c r="E18" s="12" t="inlineStr">
        <is>
          <t>No delivery round and no equipment modelled here. Correct?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workbookViewId="0">
      <pane ySplit="2" topLeftCell="A3" activePane="bottomLeft" state="frozen"/>
      <selection pane="bottomLeft" activeCell="A1" sqref="A1"/>
    </sheetView>
  </sheetViews>
  <sheetFormatPr baseColWidth="8" defaultRowHeight="15"/>
  <cols>
    <col width="30" customWidth="1" min="1" max="1"/>
    <col width="22" customWidth="1" min="2" max="2"/>
    <col width="18" customWidth="1" min="3" max="3"/>
    <col width="18" customWidth="1" min="4" max="4"/>
    <col width="15" customWidth="1" min="5" max="5"/>
    <col width="20" customWidth="1" min="6" max="6"/>
    <col width="34" customWidth="1" min="7" max="7"/>
    <col width="16" customWidth="1" min="8" max="8"/>
    <col width="16" customWidth="1" min="9" max="9"/>
    <col width="20" customWidth="1" min="10" max="10"/>
    <col width="16" customWidth="1" min="11" max="11"/>
    <col width="34" customWidth="1" min="12" max="12"/>
  </cols>
  <sheetData>
    <row r="1">
      <c r="A1" s="13" t="inlineStr">
        <is>
          <t>What the model uses today</t>
        </is>
      </c>
      <c r="B1" s="14" t="n"/>
      <c r="C1" s="14" t="n"/>
      <c r="D1" s="14" t="n"/>
      <c r="E1" s="14" t="n"/>
      <c r="F1" s="15" t="inlineStr">
        <is>
          <t>Please complete</t>
        </is>
      </c>
      <c r="G1" s="14" t="n"/>
      <c r="H1" s="14" t="n"/>
      <c r="I1" s="14" t="n"/>
      <c r="J1" s="14" t="n"/>
      <c r="K1" s="14" t="n"/>
      <c r="L1" s="14" t="n"/>
    </row>
    <row r="2" ht="60" customHeight="1">
      <c r="A2" s="9" t="inlineStr">
        <is>
          <t>Site</t>
        </is>
      </c>
      <c r="B2" s="9" t="inlineStr">
        <is>
          <t>Role</t>
        </is>
      </c>
      <c r="C2" s="9" t="inlineStr">
        <is>
          <t>Capacity you
gave us
(parcels/day)</t>
        </is>
      </c>
      <c r="D2" s="9" t="inlineStr">
        <is>
          <t>Volume the model
puts through
(parcels/day)</t>
        </is>
      </c>
      <c r="E2" s="9" t="inlineStr">
        <is>
          <t>Over your
figure?</t>
        </is>
      </c>
      <c r="F2" s="9" t="inlineStr">
        <is>
          <t>Correct site throughput
(parcels/day)</t>
        </is>
      </c>
      <c r="G2" s="9" t="inlineStr">
        <is>
          <t>What does that number include?</t>
        </is>
      </c>
      <c r="H2" s="9" t="inlineStr">
        <is>
          <t>Operating hours
per day</t>
        </is>
      </c>
      <c r="I2" s="9" t="inlineStr">
        <is>
          <t>Operating days
per year</t>
        </is>
      </c>
      <c r="J2" s="9" t="inlineStr">
        <is>
          <t>Annual fixed site cost ($)
building, rent, utilities —
excluding machines and labour</t>
        </is>
      </c>
      <c r="K2" s="9" t="inlineStr">
        <is>
          <t>Total site
headcount</t>
        </is>
      </c>
      <c r="L2" s="9" t="inlineStr">
        <is>
          <t>Notes</t>
        </is>
      </c>
    </row>
    <row r="3" ht="26" customHeight="1">
      <c r="A3" s="16" t="inlineStr">
        <is>
          <t>Melbourne Gateway Facility</t>
        </is>
      </c>
      <c r="B3" s="17" t="inlineStr">
        <is>
          <t>Hub</t>
        </is>
      </c>
      <c r="C3" s="18" t="inlineStr">
        <is>
          <t>none held</t>
        </is>
      </c>
      <c r="D3" s="19" t="n"/>
      <c r="E3" s="19" t="n"/>
      <c r="F3" s="20" t="n"/>
      <c r="G3" s="21" t="n"/>
      <c r="H3" s="20" t="n"/>
      <c r="I3" s="22" t="n">
        <v>252</v>
      </c>
      <c r="J3" s="20" t="n"/>
      <c r="K3" s="20" t="n"/>
      <c r="L3" s="21" t="n"/>
    </row>
    <row r="4" ht="26" customHeight="1">
      <c r="A4" s="16" t="inlineStr">
        <is>
          <t>Melbourne Parcel Facility</t>
        </is>
      </c>
      <c r="B4" s="17" t="inlineStr">
        <is>
          <t>Hub</t>
        </is>
      </c>
      <c r="C4" s="18" t="inlineStr">
        <is>
          <t>none held</t>
        </is>
      </c>
      <c r="D4" s="19" t="n"/>
      <c r="E4" s="19" t="n"/>
      <c r="F4" s="20" t="n"/>
      <c r="G4" s="21" t="n"/>
      <c r="H4" s="20" t="n"/>
      <c r="I4" s="22" t="n">
        <v>252</v>
      </c>
      <c r="J4" s="20" t="n"/>
      <c r="K4" s="20" t="n"/>
      <c r="L4" s="21" t="n"/>
    </row>
    <row r="5" ht="26" customHeight="1">
      <c r="A5" s="16" t="inlineStr">
        <is>
          <t>Tullamarine Parcel Facility</t>
        </is>
      </c>
      <c r="B5" s="17" t="inlineStr">
        <is>
          <t>Hub</t>
        </is>
      </c>
      <c r="C5" s="18" t="inlineStr">
        <is>
          <t>none held</t>
        </is>
      </c>
      <c r="D5" s="19" t="n"/>
      <c r="E5" s="19" t="n"/>
      <c r="F5" s="20" t="n"/>
      <c r="G5" s="21" t="n"/>
      <c r="H5" s="20" t="n"/>
      <c r="I5" s="22" t="n">
        <v>252</v>
      </c>
      <c r="J5" s="20" t="n"/>
      <c r="K5" s="20" t="n"/>
      <c r="L5" s="21" t="n"/>
    </row>
    <row r="6" ht="26" customHeight="1">
      <c r="A6" s="16" t="inlineStr">
        <is>
          <t>Dandenong Letter Center</t>
        </is>
      </c>
      <c r="B6" s="17" t="inlineStr">
        <is>
          <t>Hub (PDC in one scenario)</t>
        </is>
      </c>
      <c r="C6" s="18" t="inlineStr">
        <is>
          <t>none held</t>
        </is>
      </c>
      <c r="D6" s="23" t="n">
        <v>9981</v>
      </c>
      <c r="E6" s="19" t="n"/>
      <c r="F6" s="20" t="n"/>
      <c r="G6" s="21" t="n"/>
      <c r="H6" s="20" t="n"/>
      <c r="I6" s="22" t="n">
        <v>252</v>
      </c>
      <c r="J6" s="20" t="n"/>
      <c r="K6" s="20" t="n"/>
      <c r="L6" s="21" t="n"/>
    </row>
    <row r="7" ht="26" customHeight="1">
      <c r="A7" s="16" t="inlineStr">
        <is>
          <t>Sunshine West PDC</t>
        </is>
      </c>
      <c r="B7" s="17" t="inlineStr">
        <is>
          <t>PDC</t>
        </is>
      </c>
      <c r="C7" s="24" t="n">
        <v>55767</v>
      </c>
      <c r="D7" s="23" t="n">
        <v>53682</v>
      </c>
      <c r="E7" s="25" t="inlineStr">
        <is>
          <t>96% used</t>
        </is>
      </c>
      <c r="F7" s="20" t="n"/>
      <c r="G7" s="21" t="n"/>
      <c r="H7" s="20" t="n"/>
      <c r="I7" s="22" t="n">
        <v>252</v>
      </c>
      <c r="J7" s="20" t="n"/>
      <c r="K7" s="20" t="n"/>
      <c r="L7" s="21" t="n"/>
    </row>
    <row r="8" ht="26" customHeight="1">
      <c r="A8" s="16" t="inlineStr">
        <is>
          <t>Melbourne North PDC</t>
        </is>
      </c>
      <c r="B8" s="17" t="inlineStr">
        <is>
          <t>PDC</t>
        </is>
      </c>
      <c r="C8" s="24" t="n">
        <v>30770</v>
      </c>
      <c r="D8" s="23" t="n">
        <v>27758</v>
      </c>
      <c r="E8" s="25" t="inlineStr">
        <is>
          <t>90% used</t>
        </is>
      </c>
      <c r="F8" s="20" t="n"/>
      <c r="G8" s="21" t="n"/>
      <c r="H8" s="20" t="n"/>
      <c r="I8" s="22" t="n">
        <v>252</v>
      </c>
      <c r="J8" s="20" t="n"/>
      <c r="K8" s="20" t="n"/>
      <c r="L8" s="21" t="n"/>
    </row>
    <row r="9" ht="26" customHeight="1">
      <c r="A9" s="16" t="inlineStr">
        <is>
          <t>Oakleigh South PDC</t>
        </is>
      </c>
      <c r="B9" s="17" t="inlineStr">
        <is>
          <t>PDC</t>
        </is>
      </c>
      <c r="C9" s="24" t="n">
        <v>32375</v>
      </c>
      <c r="D9" s="23" t="n">
        <v>32838</v>
      </c>
      <c r="E9" s="26" t="inlineStr">
        <is>
          <t>YES  +463</t>
        </is>
      </c>
      <c r="F9" s="20" t="n"/>
      <c r="G9" s="21" t="n"/>
      <c r="H9" s="20" t="n"/>
      <c r="I9" s="22" t="n">
        <v>252</v>
      </c>
      <c r="J9" s="20" t="n"/>
      <c r="K9" s="20" t="n"/>
      <c r="L9" s="21" t="n"/>
    </row>
    <row r="10" ht="26" customHeight="1">
      <c r="A10" s="16" t="inlineStr">
        <is>
          <t>Dandenong South PDC</t>
        </is>
      </c>
      <c r="B10" s="17" t="inlineStr">
        <is>
          <t>PDC</t>
        </is>
      </c>
      <c r="C10" s="24" t="n">
        <v>29754</v>
      </c>
      <c r="D10" s="23" t="n">
        <v>25420</v>
      </c>
      <c r="E10" s="25" t="inlineStr">
        <is>
          <t>85% used</t>
        </is>
      </c>
      <c r="F10" s="20" t="n"/>
      <c r="G10" s="21" t="n"/>
      <c r="H10" s="20" t="n"/>
      <c r="I10" s="22" t="n">
        <v>252</v>
      </c>
      <c r="J10" s="20" t="n"/>
      <c r="K10" s="20" t="n"/>
      <c r="L10" s="21" t="n"/>
    </row>
    <row r="11" ht="26" customHeight="1">
      <c r="A11" s="16" t="inlineStr">
        <is>
          <t>Bayswater PDC</t>
        </is>
      </c>
      <c r="B11" s="17" t="inlineStr">
        <is>
          <t>PDC</t>
        </is>
      </c>
      <c r="C11" s="24" t="n">
        <v>35520</v>
      </c>
      <c r="D11" s="23" t="n">
        <v>37188</v>
      </c>
      <c r="E11" s="26" t="inlineStr">
        <is>
          <t>YES  +1,668</t>
        </is>
      </c>
      <c r="F11" s="20" t="n"/>
      <c r="G11" s="21" t="n"/>
      <c r="H11" s="20" t="n"/>
      <c r="I11" s="22" t="n">
        <v>252</v>
      </c>
      <c r="J11" s="20" t="n"/>
      <c r="K11" s="20" t="n"/>
      <c r="L11" s="21" t="n"/>
    </row>
    <row r="12" ht="26" customHeight="1">
      <c r="A12" s="16" t="inlineStr">
        <is>
          <t>Tullamarine PDC</t>
        </is>
      </c>
      <c r="B12" s="17" t="inlineStr">
        <is>
          <t>PDC</t>
        </is>
      </c>
      <c r="C12" s="24" t="n">
        <v>29160</v>
      </c>
      <c r="D12" s="23" t="n">
        <v>11593</v>
      </c>
      <c r="E12" s="25" t="inlineStr">
        <is>
          <t>40% used</t>
        </is>
      </c>
      <c r="F12" s="20" t="n"/>
      <c r="G12" s="21" t="n"/>
      <c r="H12" s="20" t="n"/>
      <c r="I12" s="22" t="n">
        <v>252</v>
      </c>
      <c r="J12" s="20" t="n"/>
      <c r="K12" s="20" t="n"/>
      <c r="L12" s="21" t="n"/>
    </row>
    <row r="13" ht="26" customHeight="1">
      <c r="A13" s="16" t="inlineStr">
        <is>
          <t>Mulgrave PDC</t>
        </is>
      </c>
      <c r="B13" s="17" t="inlineStr">
        <is>
          <t>PDC</t>
        </is>
      </c>
      <c r="C13" s="24" t="n">
        <v>11100</v>
      </c>
      <c r="D13" s="23" t="n">
        <v>5169</v>
      </c>
      <c r="E13" s="25" t="inlineStr">
        <is>
          <t>47% used</t>
        </is>
      </c>
      <c r="F13" s="20" t="n"/>
      <c r="G13" s="21" t="n"/>
      <c r="H13" s="20" t="n"/>
      <c r="I13" s="22" t="n">
        <v>252</v>
      </c>
      <c r="J13" s="20" t="n"/>
      <c r="K13" s="20" t="n"/>
      <c r="L13" s="21" t="n"/>
    </row>
    <row r="14" ht="26" customHeight="1">
      <c r="A14" s="16" t="inlineStr">
        <is>
          <t>Darebin PDC</t>
        </is>
      </c>
      <c r="B14" s="17" t="inlineStr">
        <is>
          <t>PDC</t>
        </is>
      </c>
      <c r="C14" s="24" t="n">
        <v>38018</v>
      </c>
      <c r="D14" s="23" t="n">
        <v>20152</v>
      </c>
      <c r="E14" s="25" t="inlineStr">
        <is>
          <t>53% used</t>
        </is>
      </c>
      <c r="F14" s="20" t="n"/>
      <c r="G14" s="21" t="n"/>
      <c r="H14" s="20" t="n"/>
      <c r="I14" s="22" t="n">
        <v>252</v>
      </c>
      <c r="J14" s="20" t="n"/>
      <c r="K14" s="20" t="n"/>
      <c r="L14" s="21" t="n"/>
    </row>
    <row r="15" ht="26" customHeight="1">
      <c r="A15" s="16" t="inlineStr">
        <is>
          <t>Pakenham PDC</t>
        </is>
      </c>
      <c r="B15" s="17" t="inlineStr">
        <is>
          <t>PDC</t>
        </is>
      </c>
      <c r="C15" s="24" t="n">
        <v>18444</v>
      </c>
      <c r="D15" s="23" t="n">
        <v>10497</v>
      </c>
      <c r="E15" s="25" t="inlineStr">
        <is>
          <t>57% used</t>
        </is>
      </c>
      <c r="F15" s="20" t="n"/>
      <c r="G15" s="21" t="n"/>
      <c r="H15" s="20" t="n"/>
      <c r="I15" s="22" t="n">
        <v>252</v>
      </c>
      <c r="J15" s="20" t="n"/>
      <c r="K15" s="20" t="n"/>
      <c r="L15" s="21" t="n"/>
    </row>
    <row r="16" ht="26" customHeight="1">
      <c r="A16" s="16" t="inlineStr">
        <is>
          <t>Mount Waverley PDC</t>
        </is>
      </c>
      <c r="B16" s="17" t="inlineStr">
        <is>
          <t>PDC</t>
        </is>
      </c>
      <c r="C16" s="24" t="n">
        <v>3885</v>
      </c>
      <c r="D16" s="23" t="n">
        <v>3874</v>
      </c>
      <c r="E16" s="25" t="inlineStr">
        <is>
          <t>100% used</t>
        </is>
      </c>
      <c r="F16" s="20" t="n"/>
      <c r="G16" s="21" t="n"/>
      <c r="H16" s="20" t="n"/>
      <c r="I16" s="22" t="n">
        <v>252</v>
      </c>
      <c r="J16" s="20" t="n"/>
      <c r="K16" s="20" t="n"/>
      <c r="L16" s="21" t="n"/>
    </row>
    <row r="17" ht="26" customHeight="1">
      <c r="A17" s="16" t="inlineStr">
        <is>
          <t>Abbotsford Parcel Delivery</t>
        </is>
      </c>
      <c r="B17" s="17" t="inlineStr">
        <is>
          <t>PDC</t>
        </is>
      </c>
      <c r="C17" s="24" t="n">
        <v>5828</v>
      </c>
      <c r="D17" s="23" t="n">
        <v>4848</v>
      </c>
      <c r="E17" s="25" t="inlineStr">
        <is>
          <t>83% used</t>
        </is>
      </c>
      <c r="F17" s="20" t="n"/>
      <c r="G17" s="21" t="n"/>
      <c r="H17" s="20" t="n"/>
      <c r="I17" s="22" t="n">
        <v>252</v>
      </c>
      <c r="J17" s="20" t="n"/>
      <c r="K17" s="20" t="n"/>
      <c r="L17" s="21" t="n"/>
    </row>
    <row r="18" ht="26" customHeight="1">
      <c r="A18" s="16" t="inlineStr">
        <is>
          <t>Dandenong Transport Facility</t>
        </is>
      </c>
      <c r="B18" s="17" t="inlineStr">
        <is>
          <t>First-mile pickup only</t>
        </is>
      </c>
      <c r="C18" s="18" t="inlineStr">
        <is>
          <t>none held</t>
        </is>
      </c>
      <c r="D18" s="19" t="n"/>
      <c r="E18" s="19" t="n"/>
      <c r="F18" s="20" t="n"/>
      <c r="G18" s="21" t="n"/>
      <c r="H18" s="20" t="n"/>
      <c r="I18" s="22" t="n">
        <v>252</v>
      </c>
      <c r="J18" s="20" t="n"/>
      <c r="K18" s="20" t="n"/>
      <c r="L18" s="21" t="n"/>
    </row>
    <row r="19" ht="26" customHeight="1">
      <c r="A19" s="16" t="inlineStr">
        <is>
          <t>Melbourne Transport</t>
        </is>
      </c>
      <c r="B19" s="17" t="inlineStr">
        <is>
          <t>First-mile pickup only</t>
        </is>
      </c>
      <c r="C19" s="18" t="inlineStr">
        <is>
          <t>none held</t>
        </is>
      </c>
      <c r="D19" s="19" t="n"/>
      <c r="E19" s="19" t="n"/>
      <c r="F19" s="20" t="n"/>
      <c r="G19" s="21" t="n"/>
      <c r="H19" s="20" t="n"/>
      <c r="I19" s="22" t="n">
        <v>252</v>
      </c>
      <c r="J19" s="20" t="n"/>
      <c r="K19" s="20" t="n"/>
      <c r="L19" s="21" t="n"/>
    </row>
    <row r="21" ht="30" customHeight="1">
      <c r="A21" s="27" t="inlineStr">
        <is>
          <t>• Column E is the important one. Where it says YES, the volume our model puts through your site is already higher than the capacity figure we hold for you. Either our volume is too high or the capacity figure is too low — we need to know which.</t>
        </is>
      </c>
    </row>
    <row r="22" ht="30" customHeight="1">
      <c r="A22" s="27" t="inlineStr">
        <is>
          <t>• We are not certain what Optilogic counts as site throughput, which is why column G matters. Sunshine West, Bayswater, Oakleigh South, Melbourne North and Dandenong South also handle pickup volume that passes through on its way to a hub. Please tell us whether your capacity figure covers that transit volume or only delivery.</t>
        </is>
      </c>
    </row>
    <row r="23" ht="30" customHeight="1">
      <c r="A23" s="27" t="inlineStr">
        <is>
          <t>• We hold no site throughput figure at all for the four hubs. Those rows are the biggest gap.</t>
        </is>
      </c>
    </row>
  </sheetData>
  <mergeCells count="5">
    <mergeCell ref="F1:L1"/>
    <mergeCell ref="A23:L23"/>
    <mergeCell ref="A1:E1"/>
    <mergeCell ref="A22:L22"/>
    <mergeCell ref="A21:L21"/>
  </mergeCells>
  <dataValidations count="1">
    <dataValidation sqref="G3 G4 G5 G6 G7 G8 G9 G10 G11 G12 G13 G14 G15 G16 G17 G18 G19" showDropDown="0" showInputMessage="0" showErrorMessage="0" allowBlank="1" type="list">
      <formula1>"Inbound parcels only,Inbound + outbound parcels,Delivery volume only,Something else - see notes"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2"/>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22" customWidth="1" min="3" max="3"/>
    <col width="11" customWidth="1" min="4" max="4"/>
    <col width="12" customWidth="1" min="5" max="5"/>
    <col width="10" customWidth="1" min="6" max="6"/>
    <col width="11" customWidth="1" min="7" max="7"/>
    <col width="13" customWidth="1" min="8" max="8"/>
    <col width="11" customWidth="1" min="9" max="9"/>
    <col width="12" customWidth="1" min="10" max="10"/>
    <col width="10" customWidth="1" min="11" max="11"/>
    <col width="14" customWidth="1" min="12" max="12"/>
    <col width="11" customWidth="1" min="13" max="13"/>
    <col width="14" customWidth="1" min="14" max="14"/>
    <col width="30" customWidth="1" min="15" max="15"/>
  </cols>
  <sheetData>
    <row r="1">
      <c r="A1" s="28" t="inlineStr"/>
      <c r="B1" s="14" t="n"/>
      <c r="C1" s="14" t="n"/>
      <c r="D1" s="13" t="inlineStr">
        <is>
          <t>What the model assumes today</t>
        </is>
      </c>
      <c r="E1" s="14" t="n"/>
      <c r="F1" s="14" t="n"/>
      <c r="G1" s="14" t="n"/>
      <c r="H1" s="14" t="n"/>
      <c r="I1" s="15" t="inlineStr">
        <is>
          <t>Please confirm or correct</t>
        </is>
      </c>
      <c r="J1" s="14" t="n"/>
      <c r="K1" s="14" t="n"/>
      <c r="L1" s="14" t="n"/>
      <c r="M1" s="14" t="n"/>
      <c r="N1" s="14" t="n"/>
      <c r="O1" s="14" t="n"/>
    </row>
    <row r="2" ht="58" customHeight="1">
      <c r="A2" s="9" t="inlineStr">
        <is>
          <t>Site</t>
        </is>
      </c>
      <c r="B2" s="9" t="inlineStr">
        <is>
          <t>Activity</t>
        </is>
      </c>
      <c r="C2" s="9" t="inlineStr">
        <is>
          <t>Model name</t>
        </is>
      </c>
      <c r="D2" s="9" t="inlineStr">
        <is>
          <t>Machines
/ lines</t>
        </is>
      </c>
      <c r="E2" s="9" t="inlineStr">
        <is>
          <t>Parcels
per hour
per machine</t>
        </is>
      </c>
      <c r="F2" s="9" t="inlineStr">
        <is>
          <t>Hours
per day</t>
        </is>
      </c>
      <c r="G2" s="9" t="inlineStr">
        <is>
          <t>Labour cost
per parcel ($)</t>
        </is>
      </c>
      <c r="H2" s="9" t="inlineStr">
        <is>
          <t>Annual fixed cost
per machine ($)</t>
        </is>
      </c>
      <c r="I2" s="9" t="inlineStr">
        <is>
          <t>Machines
/ lines</t>
        </is>
      </c>
      <c r="J2" s="9" t="inlineStr">
        <is>
          <t>Parcels
per hour
per machine</t>
        </is>
      </c>
      <c r="K2" s="9" t="inlineStr">
        <is>
          <t>Hours
per day</t>
        </is>
      </c>
      <c r="L2" s="9" t="inlineStr">
        <is>
          <t>Capacity per day
(parcels)</t>
        </is>
      </c>
      <c r="M2" s="9" t="inlineStr">
        <is>
          <t>Labour cost
per parcel ($)</t>
        </is>
      </c>
      <c r="N2" s="9" t="inlineStr">
        <is>
          <t>Annual fixed cost
per machine ($)</t>
        </is>
      </c>
      <c r="O2" s="9" t="inlineStr">
        <is>
          <t>Notes</t>
        </is>
      </c>
    </row>
    <row r="3" ht="24" customHeight="1">
      <c r="A3" s="10" t="inlineStr">
        <is>
          <t>Melbourne Gateway Facility</t>
        </is>
      </c>
      <c r="B3" s="11" t="inlineStr">
        <is>
          <t>Unload — Loose Hand</t>
        </is>
      </c>
      <c r="C3" s="29" t="inlineStr">
        <is>
          <t>UNLOAD_LOOSE</t>
        </is>
      </c>
      <c r="D3" s="30" t="n">
        <v>1</v>
      </c>
      <c r="E3" s="30" t="n">
        <v>750</v>
      </c>
      <c r="F3" s="30" t="n">
        <v>20</v>
      </c>
      <c r="G3" s="31" t="n">
        <v>0.05</v>
      </c>
      <c r="H3" s="30" t="n">
        <v>50000</v>
      </c>
      <c r="I3" s="32" t="n"/>
      <c r="J3" s="32" t="n"/>
      <c r="K3" s="32" t="n"/>
      <c r="L3" s="33">
        <f>IF(COUNT(I3:K3)=3,I3*J3*K3,"")</f>
        <v/>
      </c>
      <c r="M3" s="32" t="n"/>
      <c r="N3" s="32" t="n"/>
      <c r="O3" s="12" t="n"/>
    </row>
    <row r="4" ht="24" customHeight="1">
      <c r="A4" s="10" t="n"/>
      <c r="B4" s="11" t="inlineStr">
        <is>
          <t>Unload — Forklift / ULD</t>
        </is>
      </c>
      <c r="C4" s="29" t="inlineStr">
        <is>
          <t>UNLOAD_ULD</t>
        </is>
      </c>
      <c r="D4" s="30" t="n">
        <v>1</v>
      </c>
      <c r="E4" s="30" t="n">
        <v>2750</v>
      </c>
      <c r="F4" s="30" t="n">
        <v>20</v>
      </c>
      <c r="G4" s="31" t="n">
        <v>0.015</v>
      </c>
      <c r="H4" s="30" t="n">
        <v>250000</v>
      </c>
      <c r="I4" s="32" t="n"/>
      <c r="J4" s="32" t="n"/>
      <c r="K4" s="32" t="n"/>
      <c r="L4" s="33">
        <f>IF(COUNT(I4:K4)=3,I4*J4*K4,"")</f>
        <v/>
      </c>
      <c r="M4" s="32" t="n"/>
      <c r="N4" s="32" t="n"/>
      <c r="O4" s="12" t="n"/>
    </row>
    <row r="5" ht="24" customHeight="1">
      <c r="A5" s="10" t="n"/>
      <c r="B5" s="11" t="inlineStr">
        <is>
          <t>Unload — Loose Longreach</t>
        </is>
      </c>
      <c r="C5" s="29" t="inlineStr">
        <is>
          <t>UNLOAD_LONGREACH</t>
        </is>
      </c>
      <c r="D5" s="30" t="n">
        <v>1</v>
      </c>
      <c r="E5" s="30" t="n">
        <v>1750</v>
      </c>
      <c r="F5" s="30" t="n">
        <v>20</v>
      </c>
      <c r="G5" s="31" t="n">
        <v>0.02</v>
      </c>
      <c r="H5" s="30" t="n">
        <v>150000</v>
      </c>
      <c r="I5" s="32" t="n"/>
      <c r="J5" s="32" t="n"/>
      <c r="K5" s="32" t="n"/>
      <c r="L5" s="33">
        <f>IF(COUNT(I5:K5)=3,I5*J5*K5,"")</f>
        <v/>
      </c>
      <c r="M5" s="32" t="n"/>
      <c r="N5" s="32" t="n"/>
      <c r="O5" s="12" t="n"/>
    </row>
    <row r="6" ht="24" customHeight="1">
      <c r="A6" s="10" t="n"/>
      <c r="B6" s="11" t="inlineStr">
        <is>
          <t>Sort — SPS Manual</t>
        </is>
      </c>
      <c r="C6" s="29" t="inlineStr">
        <is>
          <t>MANUAL_SORT</t>
        </is>
      </c>
      <c r="D6" s="30" t="n">
        <v>1</v>
      </c>
      <c r="E6" s="30" t="n">
        <v>1250</v>
      </c>
      <c r="F6" s="30" t="n">
        <v>20</v>
      </c>
      <c r="G6" s="31" t="n">
        <v>0.06</v>
      </c>
      <c r="H6" s="30" t="n">
        <v>100000</v>
      </c>
      <c r="I6" s="32" t="n"/>
      <c r="J6" s="32" t="n"/>
      <c r="K6" s="32" t="n"/>
      <c r="L6" s="33">
        <f>IF(COUNT(I6:K6)=3,I6*J6*K6,"")</f>
        <v/>
      </c>
      <c r="M6" s="32" t="n"/>
      <c r="N6" s="32" t="n"/>
      <c r="O6" s="12" t="n"/>
    </row>
    <row r="7" ht="24" customHeight="1">
      <c r="A7" s="10" t="n"/>
      <c r="B7" s="11" t="inlineStr">
        <is>
          <t>Sort — SPS Automated</t>
        </is>
      </c>
      <c r="C7" s="29" t="inlineStr">
        <is>
          <t>SMALL_AUTO_SORT</t>
        </is>
      </c>
      <c r="D7" s="30" t="n">
        <v>1</v>
      </c>
      <c r="E7" s="24" t="n">
        <v>14000</v>
      </c>
      <c r="F7" s="30" t="n">
        <v>20</v>
      </c>
      <c r="G7" s="31" t="n">
        <v>0.02</v>
      </c>
      <c r="H7" s="30" t="n">
        <v>800000</v>
      </c>
      <c r="I7" s="32" t="n"/>
      <c r="J7" s="32" t="n"/>
      <c r="K7" s="32" t="n"/>
      <c r="L7" s="33">
        <f>IF(COUNT(I7:K7)=3,I7*J7*K7,"")</f>
        <v/>
      </c>
      <c r="M7" s="32" t="n"/>
      <c r="N7" s="32" t="n"/>
      <c r="O7" s="12" t="n"/>
    </row>
    <row r="8" ht="24" customHeight="1">
      <c r="A8" s="10" t="n"/>
      <c r="B8" s="11" t="inlineStr">
        <is>
          <t>Load — Loose Hand</t>
        </is>
      </c>
      <c r="C8" s="29" t="inlineStr">
        <is>
          <t>LOAD_LOOSE</t>
        </is>
      </c>
      <c r="D8" s="30" t="n">
        <v>1</v>
      </c>
      <c r="E8" s="30" t="n">
        <v>750</v>
      </c>
      <c r="F8" s="30" t="n">
        <v>20</v>
      </c>
      <c r="G8" s="31" t="n">
        <v>0.05</v>
      </c>
      <c r="H8" s="30" t="n">
        <v>50000</v>
      </c>
      <c r="I8" s="32" t="n"/>
      <c r="J8" s="32" t="n"/>
      <c r="K8" s="32" t="n"/>
      <c r="L8" s="33">
        <f>IF(COUNT(I8:K8)=3,I8*J8*K8,"")</f>
        <v/>
      </c>
      <c r="M8" s="32" t="n"/>
      <c r="N8" s="32" t="n"/>
      <c r="O8" s="12" t="n"/>
    </row>
    <row r="9" ht="24" customHeight="1">
      <c r="A9" s="10" t="n"/>
      <c r="B9" s="11" t="inlineStr">
        <is>
          <t>Load — Forklift / ULD</t>
        </is>
      </c>
      <c r="C9" s="29" t="inlineStr">
        <is>
          <t>LOAD_ULD</t>
        </is>
      </c>
      <c r="D9" s="30" t="n">
        <v>1</v>
      </c>
      <c r="E9" s="30" t="n">
        <v>2750</v>
      </c>
      <c r="F9" s="30" t="n">
        <v>20</v>
      </c>
      <c r="G9" s="31" t="n">
        <v>0.015</v>
      </c>
      <c r="H9" s="30" t="n">
        <v>250000</v>
      </c>
      <c r="I9" s="32" t="n"/>
      <c r="J9" s="32" t="n"/>
      <c r="K9" s="32" t="n"/>
      <c r="L9" s="33">
        <f>IF(COUNT(I9:K9)=3,I9*J9*K9,"")</f>
        <v/>
      </c>
      <c r="M9" s="32" t="n"/>
      <c r="N9" s="32" t="n"/>
      <c r="O9" s="12" t="n"/>
    </row>
    <row r="10" ht="24" customHeight="1">
      <c r="A10" s="10" t="n"/>
      <c r="B10" s="11" t="inlineStr">
        <is>
          <t>Load — Loose Longreach</t>
        </is>
      </c>
      <c r="C10" s="29" t="inlineStr">
        <is>
          <t>LOAD_LONGREACH</t>
        </is>
      </c>
      <c r="D10" s="30" t="n">
        <v>1</v>
      </c>
      <c r="E10" s="30" t="n">
        <v>1750</v>
      </c>
      <c r="F10" s="30" t="n">
        <v>20</v>
      </c>
      <c r="G10" s="31" t="n">
        <v>0.02</v>
      </c>
      <c r="H10" s="30" t="n">
        <v>150000</v>
      </c>
      <c r="I10" s="32" t="n"/>
      <c r="J10" s="32" t="n"/>
      <c r="K10" s="32" t="n"/>
      <c r="L10" s="33">
        <f>IF(COUNT(I10:K10)=3,I10*J10*K10,"")</f>
        <v/>
      </c>
      <c r="M10" s="32" t="n"/>
      <c r="N10" s="32" t="n"/>
      <c r="O10" s="12" t="n"/>
    </row>
    <row r="11" ht="24" customHeight="1">
      <c r="A11" s="10" t="inlineStr">
        <is>
          <t>Melbourne Parcel Facility</t>
        </is>
      </c>
      <c r="B11" s="11" t="inlineStr">
        <is>
          <t>Unload — Loose Hand</t>
        </is>
      </c>
      <c r="C11" s="29" t="inlineStr">
        <is>
          <t>UNLOAD_LOOSE</t>
        </is>
      </c>
      <c r="D11" s="30" t="n">
        <v>1</v>
      </c>
      <c r="E11" s="30" t="n">
        <v>750</v>
      </c>
      <c r="F11" s="30" t="n">
        <v>20</v>
      </c>
      <c r="G11" s="31" t="n">
        <v>0.05</v>
      </c>
      <c r="H11" s="30" t="n">
        <v>50000</v>
      </c>
      <c r="I11" s="32" t="n"/>
      <c r="J11" s="32" t="n"/>
      <c r="K11" s="32" t="n"/>
      <c r="L11" s="33">
        <f>IF(COUNT(I11:K11)=3,I11*J11*K11,"")</f>
        <v/>
      </c>
      <c r="M11" s="32" t="n"/>
      <c r="N11" s="32" t="n"/>
      <c r="O11" s="12" t="n"/>
    </row>
    <row r="12" ht="24" customHeight="1">
      <c r="A12" s="10" t="n"/>
      <c r="B12" s="11" t="inlineStr">
        <is>
          <t>Unload — Forklift / ULD</t>
        </is>
      </c>
      <c r="C12" s="29" t="inlineStr">
        <is>
          <t>UNLOAD_ULD</t>
        </is>
      </c>
      <c r="D12" s="30" t="n">
        <v>1</v>
      </c>
      <c r="E12" s="30" t="n">
        <v>2750</v>
      </c>
      <c r="F12" s="30" t="n">
        <v>20</v>
      </c>
      <c r="G12" s="31" t="n">
        <v>0.015</v>
      </c>
      <c r="H12" s="30" t="n">
        <v>250000</v>
      </c>
      <c r="I12" s="32" t="n"/>
      <c r="J12" s="32" t="n"/>
      <c r="K12" s="32" t="n"/>
      <c r="L12" s="33">
        <f>IF(COUNT(I12:K12)=3,I12*J12*K12,"")</f>
        <v/>
      </c>
      <c r="M12" s="32" t="n"/>
      <c r="N12" s="32" t="n"/>
      <c r="O12" s="12" t="n"/>
    </row>
    <row r="13" ht="24" customHeight="1">
      <c r="A13" s="10" t="n"/>
      <c r="B13" s="11" t="inlineStr">
        <is>
          <t>Unload — Loose Longreach</t>
        </is>
      </c>
      <c r="C13" s="29" t="inlineStr">
        <is>
          <t>UNLOAD_LONGREACH</t>
        </is>
      </c>
      <c r="D13" s="30" t="n">
        <v>1</v>
      </c>
      <c r="E13" s="30" t="n">
        <v>1750</v>
      </c>
      <c r="F13" s="30" t="n">
        <v>20</v>
      </c>
      <c r="G13" s="31" t="n">
        <v>0.02</v>
      </c>
      <c r="H13" s="30" t="n">
        <v>150000</v>
      </c>
      <c r="I13" s="32" t="n"/>
      <c r="J13" s="32" t="n"/>
      <c r="K13" s="32" t="n"/>
      <c r="L13" s="33">
        <f>IF(COUNT(I13:K13)=3,I13*J13*K13,"")</f>
        <v/>
      </c>
      <c r="M13" s="32" t="n"/>
      <c r="N13" s="32" t="n"/>
      <c r="O13" s="12" t="n"/>
    </row>
    <row r="14" ht="24" customHeight="1">
      <c r="A14" s="10" t="n"/>
      <c r="B14" s="11" t="inlineStr">
        <is>
          <t>Sort — SPS Manual</t>
        </is>
      </c>
      <c r="C14" s="29" t="inlineStr">
        <is>
          <t>MANUAL_SORT</t>
        </is>
      </c>
      <c r="D14" s="30" t="n">
        <v>1</v>
      </c>
      <c r="E14" s="30" t="n">
        <v>1250</v>
      </c>
      <c r="F14" s="30" t="n">
        <v>20</v>
      </c>
      <c r="G14" s="31" t="n">
        <v>0.06</v>
      </c>
      <c r="H14" s="30" t="n">
        <v>100000</v>
      </c>
      <c r="I14" s="32" t="n"/>
      <c r="J14" s="32" t="n"/>
      <c r="K14" s="32" t="n"/>
      <c r="L14" s="33">
        <f>IF(COUNT(I14:K14)=3,I14*J14*K14,"")</f>
        <v/>
      </c>
      <c r="M14" s="32" t="n"/>
      <c r="N14" s="32" t="n"/>
      <c r="O14" s="12" t="n"/>
    </row>
    <row r="15" ht="24" customHeight="1">
      <c r="A15" s="10" t="n"/>
      <c r="B15" s="11" t="inlineStr">
        <is>
          <t>Sort — LPS Automated</t>
        </is>
      </c>
      <c r="C15" s="29" t="inlineStr">
        <is>
          <t>LARGE_AUTO_SORT</t>
        </is>
      </c>
      <c r="D15" s="30" t="n">
        <v>1</v>
      </c>
      <c r="E15" s="24" t="n">
        <v>15000</v>
      </c>
      <c r="F15" s="30" t="n">
        <v>20</v>
      </c>
      <c r="G15" s="31" t="n">
        <v>0.01</v>
      </c>
      <c r="H15" s="30" t="n">
        <v>2500000</v>
      </c>
      <c r="I15" s="32" t="n"/>
      <c r="J15" s="32" t="n"/>
      <c r="K15" s="32" t="n"/>
      <c r="L15" s="33">
        <f>IF(COUNT(I15:K15)=3,I15*J15*K15,"")</f>
        <v/>
      </c>
      <c r="M15" s="32" t="n"/>
      <c r="N15" s="32" t="n"/>
      <c r="O15" s="12" t="n"/>
    </row>
    <row r="16" ht="24" customHeight="1">
      <c r="A16" s="10" t="n"/>
      <c r="B16" s="11" t="inlineStr">
        <is>
          <t>Sort — SPS Automated</t>
        </is>
      </c>
      <c r="C16" s="29" t="inlineStr">
        <is>
          <t>SMALL_AUTO_SORT</t>
        </is>
      </c>
      <c r="D16" s="30" t="n">
        <v>1</v>
      </c>
      <c r="E16" s="24" t="n">
        <v>10000</v>
      </c>
      <c r="F16" s="30" t="n">
        <v>20</v>
      </c>
      <c r="G16" s="31" t="n">
        <v>0.02</v>
      </c>
      <c r="H16" s="30" t="n">
        <v>800000</v>
      </c>
      <c r="I16" s="32" t="n"/>
      <c r="J16" s="32" t="n"/>
      <c r="K16" s="32" t="n"/>
      <c r="L16" s="33">
        <f>IF(COUNT(I16:K16)=3,I16*J16*K16,"")</f>
        <v/>
      </c>
      <c r="M16" s="32" t="n"/>
      <c r="N16" s="32" t="n"/>
      <c r="O16" s="12" t="n"/>
    </row>
    <row r="17" ht="24" customHeight="1">
      <c r="A17" s="10" t="n"/>
      <c r="B17" s="11" t="inlineStr">
        <is>
          <t>Load — Loose Hand</t>
        </is>
      </c>
      <c r="C17" s="29" t="inlineStr">
        <is>
          <t>LOAD_LOOSE</t>
        </is>
      </c>
      <c r="D17" s="30" t="n">
        <v>1</v>
      </c>
      <c r="E17" s="30" t="n">
        <v>750</v>
      </c>
      <c r="F17" s="30" t="n">
        <v>20</v>
      </c>
      <c r="G17" s="31" t="n">
        <v>0.05</v>
      </c>
      <c r="H17" s="30" t="n">
        <v>50000</v>
      </c>
      <c r="I17" s="32" t="n"/>
      <c r="J17" s="32" t="n"/>
      <c r="K17" s="32" t="n"/>
      <c r="L17" s="33">
        <f>IF(COUNT(I17:K17)=3,I17*J17*K17,"")</f>
        <v/>
      </c>
      <c r="M17" s="32" t="n"/>
      <c r="N17" s="32" t="n"/>
      <c r="O17" s="12" t="n"/>
    </row>
    <row r="18" ht="24" customHeight="1">
      <c r="A18" s="10" t="n"/>
      <c r="B18" s="11" t="inlineStr">
        <is>
          <t>Load — Forklift / ULD</t>
        </is>
      </c>
      <c r="C18" s="29" t="inlineStr">
        <is>
          <t>LOAD_ULD</t>
        </is>
      </c>
      <c r="D18" s="30" t="n">
        <v>1</v>
      </c>
      <c r="E18" s="30" t="n">
        <v>2750</v>
      </c>
      <c r="F18" s="30" t="n">
        <v>20</v>
      </c>
      <c r="G18" s="31" t="n">
        <v>0.015</v>
      </c>
      <c r="H18" s="30" t="n">
        <v>250000</v>
      </c>
      <c r="I18" s="32" t="n"/>
      <c r="J18" s="32" t="n"/>
      <c r="K18" s="32" t="n"/>
      <c r="L18" s="33">
        <f>IF(COUNT(I18:K18)=3,I18*J18*K18,"")</f>
        <v/>
      </c>
      <c r="M18" s="32" t="n"/>
      <c r="N18" s="32" t="n"/>
      <c r="O18" s="12" t="n"/>
    </row>
    <row r="19" ht="24" customHeight="1">
      <c r="A19" s="10" t="n"/>
      <c r="B19" s="11" t="inlineStr">
        <is>
          <t>Load — Loose Longreach</t>
        </is>
      </c>
      <c r="C19" s="29" t="inlineStr">
        <is>
          <t>LOAD_LONGREACH</t>
        </is>
      </c>
      <c r="D19" s="30" t="n">
        <v>1</v>
      </c>
      <c r="E19" s="30" t="n">
        <v>1750</v>
      </c>
      <c r="F19" s="30" t="n">
        <v>20</v>
      </c>
      <c r="G19" s="31" t="n">
        <v>0.02</v>
      </c>
      <c r="H19" s="30" t="n">
        <v>150000</v>
      </c>
      <c r="I19" s="32" t="n"/>
      <c r="J19" s="32" t="n"/>
      <c r="K19" s="32" t="n"/>
      <c r="L19" s="33">
        <f>IF(COUNT(I19:K19)=3,I19*J19*K19,"")</f>
        <v/>
      </c>
      <c r="M19" s="32" t="n"/>
      <c r="N19" s="32" t="n"/>
      <c r="O19" s="12" t="n"/>
    </row>
    <row r="20" ht="24" customHeight="1">
      <c r="A20" s="10" t="inlineStr">
        <is>
          <t>Tullamarine Parcel Facility</t>
        </is>
      </c>
      <c r="B20" s="11" t="inlineStr">
        <is>
          <t>Unload — Loose Hand</t>
        </is>
      </c>
      <c r="C20" s="29" t="inlineStr">
        <is>
          <t>UNLOAD_LOOSE</t>
        </is>
      </c>
      <c r="D20" s="30" t="n">
        <v>1</v>
      </c>
      <c r="E20" s="30" t="n">
        <v>750</v>
      </c>
      <c r="F20" s="30" t="n">
        <v>20</v>
      </c>
      <c r="G20" s="31" t="n">
        <v>0.05</v>
      </c>
      <c r="H20" s="30" t="n">
        <v>50000</v>
      </c>
      <c r="I20" s="32" t="n"/>
      <c r="J20" s="32" t="n"/>
      <c r="K20" s="32" t="n"/>
      <c r="L20" s="33">
        <f>IF(COUNT(I20:K20)=3,I20*J20*K20,"")</f>
        <v/>
      </c>
      <c r="M20" s="32" t="n"/>
      <c r="N20" s="32" t="n"/>
      <c r="O20" s="12" t="n"/>
    </row>
    <row r="21" ht="24" customHeight="1">
      <c r="A21" s="10" t="n"/>
      <c r="B21" s="11" t="inlineStr">
        <is>
          <t>Unload — Forklift / ULD</t>
        </is>
      </c>
      <c r="C21" s="29" t="inlineStr">
        <is>
          <t>UNLOAD_ULD</t>
        </is>
      </c>
      <c r="D21" s="30" t="n">
        <v>1</v>
      </c>
      <c r="E21" s="30" t="n">
        <v>2750</v>
      </c>
      <c r="F21" s="30" t="n">
        <v>20</v>
      </c>
      <c r="G21" s="31" t="n">
        <v>0.015</v>
      </c>
      <c r="H21" s="30" t="n">
        <v>250000</v>
      </c>
      <c r="I21" s="32" t="n"/>
      <c r="J21" s="32" t="n"/>
      <c r="K21" s="32" t="n"/>
      <c r="L21" s="33">
        <f>IF(COUNT(I21:K21)=3,I21*J21*K21,"")</f>
        <v/>
      </c>
      <c r="M21" s="32" t="n"/>
      <c r="N21" s="32" t="n"/>
      <c r="O21" s="12" t="n"/>
    </row>
    <row r="22" ht="24" customHeight="1">
      <c r="A22" s="10" t="n"/>
      <c r="B22" s="11" t="inlineStr">
        <is>
          <t>Unload — Loose Longreach</t>
        </is>
      </c>
      <c r="C22" s="29" t="inlineStr">
        <is>
          <t>UNLOAD_LONGREACH</t>
        </is>
      </c>
      <c r="D22" s="30" t="n">
        <v>1</v>
      </c>
      <c r="E22" s="30" t="n">
        <v>1750</v>
      </c>
      <c r="F22" s="30" t="n">
        <v>20</v>
      </c>
      <c r="G22" s="31" t="n">
        <v>0.02</v>
      </c>
      <c r="H22" s="30" t="n">
        <v>150000</v>
      </c>
      <c r="I22" s="32" t="n"/>
      <c r="J22" s="32" t="n"/>
      <c r="K22" s="32" t="n"/>
      <c r="L22" s="33">
        <f>IF(COUNT(I22:K22)=3,I22*J22*K22,"")</f>
        <v/>
      </c>
      <c r="M22" s="32" t="n"/>
      <c r="N22" s="32" t="n"/>
      <c r="O22" s="12" t="n"/>
    </row>
    <row r="23" ht="24" customHeight="1">
      <c r="A23" s="10" t="n"/>
      <c r="B23" s="11" t="inlineStr">
        <is>
          <t>Sort — SPS Manual</t>
        </is>
      </c>
      <c r="C23" s="29" t="inlineStr">
        <is>
          <t>MANUAL_SORT</t>
        </is>
      </c>
      <c r="D23" s="30" t="n">
        <v>1</v>
      </c>
      <c r="E23" s="30" t="n">
        <v>1250</v>
      </c>
      <c r="F23" s="30" t="n">
        <v>20</v>
      </c>
      <c r="G23" s="31" t="n">
        <v>0.06</v>
      </c>
      <c r="H23" s="30" t="n">
        <v>100000</v>
      </c>
      <c r="I23" s="32" t="n"/>
      <c r="J23" s="32" t="n"/>
      <c r="K23" s="32" t="n"/>
      <c r="L23" s="33">
        <f>IF(COUNT(I23:K23)=3,I23*J23*K23,"")</f>
        <v/>
      </c>
      <c r="M23" s="32" t="n"/>
      <c r="N23" s="32" t="n"/>
      <c r="O23" s="12" t="n"/>
    </row>
    <row r="24" ht="24" customHeight="1">
      <c r="A24" s="10" t="n"/>
      <c r="B24" s="11" t="inlineStr">
        <is>
          <t>Sort — LPS Automated</t>
        </is>
      </c>
      <c r="C24" s="29" t="inlineStr">
        <is>
          <t>LARGE_AUTO_SORT</t>
        </is>
      </c>
      <c r="D24" s="30" t="n">
        <v>1</v>
      </c>
      <c r="E24" s="24" t="n">
        <v>5500</v>
      </c>
      <c r="F24" s="30" t="n">
        <v>20</v>
      </c>
      <c r="G24" s="31" t="n">
        <v>0.01</v>
      </c>
      <c r="H24" s="30" t="n">
        <v>2500000</v>
      </c>
      <c r="I24" s="32" t="n"/>
      <c r="J24" s="32" t="n"/>
      <c r="K24" s="32" t="n"/>
      <c r="L24" s="33">
        <f>IF(COUNT(I24:K24)=3,I24*J24*K24,"")</f>
        <v/>
      </c>
      <c r="M24" s="32" t="n"/>
      <c r="N24" s="32" t="n"/>
      <c r="O24" s="12" t="n"/>
    </row>
    <row r="25" ht="24" customHeight="1">
      <c r="A25" s="10" t="n"/>
      <c r="B25" s="11" t="inlineStr">
        <is>
          <t>Sort — SPS Automated</t>
        </is>
      </c>
      <c r="C25" s="29" t="inlineStr">
        <is>
          <t>SMALL_AUTO_SORT</t>
        </is>
      </c>
      <c r="D25" s="30" t="n">
        <v>1</v>
      </c>
      <c r="E25" s="24" t="n">
        <v>10000</v>
      </c>
      <c r="F25" s="30" t="n">
        <v>20</v>
      </c>
      <c r="G25" s="31" t="n">
        <v>0.02</v>
      </c>
      <c r="H25" s="30" t="n">
        <v>800000</v>
      </c>
      <c r="I25" s="32" t="n"/>
      <c r="J25" s="32" t="n"/>
      <c r="K25" s="32" t="n"/>
      <c r="L25" s="33">
        <f>IF(COUNT(I25:K25)=3,I25*J25*K25,"")</f>
        <v/>
      </c>
      <c r="M25" s="32" t="n"/>
      <c r="N25" s="32" t="n"/>
      <c r="O25" s="12" t="n"/>
    </row>
    <row r="26" ht="24" customHeight="1">
      <c r="A26" s="10" t="n"/>
      <c r="B26" s="11" t="inlineStr">
        <is>
          <t>Load — Loose Hand</t>
        </is>
      </c>
      <c r="C26" s="29" t="inlineStr">
        <is>
          <t>LOAD_LOOSE</t>
        </is>
      </c>
      <c r="D26" s="30" t="n">
        <v>1</v>
      </c>
      <c r="E26" s="30" t="n">
        <v>750</v>
      </c>
      <c r="F26" s="30" t="n">
        <v>20</v>
      </c>
      <c r="G26" s="31" t="n">
        <v>0.05</v>
      </c>
      <c r="H26" s="30" t="n">
        <v>50000</v>
      </c>
      <c r="I26" s="32" t="n"/>
      <c r="J26" s="32" t="n"/>
      <c r="K26" s="32" t="n"/>
      <c r="L26" s="33">
        <f>IF(COUNT(I26:K26)=3,I26*J26*K26,"")</f>
        <v/>
      </c>
      <c r="M26" s="32" t="n"/>
      <c r="N26" s="32" t="n"/>
      <c r="O26" s="12" t="n"/>
    </row>
    <row r="27" ht="24" customHeight="1">
      <c r="A27" s="10" t="n"/>
      <c r="B27" s="11" t="inlineStr">
        <is>
          <t>Load — Forklift / ULD</t>
        </is>
      </c>
      <c r="C27" s="29" t="inlineStr">
        <is>
          <t>LOAD_ULD</t>
        </is>
      </c>
      <c r="D27" s="30" t="n">
        <v>1</v>
      </c>
      <c r="E27" s="30" t="n">
        <v>2750</v>
      </c>
      <c r="F27" s="30" t="n">
        <v>20</v>
      </c>
      <c r="G27" s="31" t="n">
        <v>0.015</v>
      </c>
      <c r="H27" s="30" t="n">
        <v>250000</v>
      </c>
      <c r="I27" s="32" t="n"/>
      <c r="J27" s="32" t="n"/>
      <c r="K27" s="32" t="n"/>
      <c r="L27" s="33">
        <f>IF(COUNT(I27:K27)=3,I27*J27*K27,"")</f>
        <v/>
      </c>
      <c r="M27" s="32" t="n"/>
      <c r="N27" s="32" t="n"/>
      <c r="O27" s="12" t="n"/>
    </row>
    <row r="28" ht="24" customHeight="1">
      <c r="A28" s="10" t="n"/>
      <c r="B28" s="11" t="inlineStr">
        <is>
          <t>Load — Loose Longreach</t>
        </is>
      </c>
      <c r="C28" s="29" t="inlineStr">
        <is>
          <t>LOAD_LONGREACH</t>
        </is>
      </c>
      <c r="D28" s="30" t="n">
        <v>1</v>
      </c>
      <c r="E28" s="30" t="n">
        <v>1750</v>
      </c>
      <c r="F28" s="30" t="n">
        <v>20</v>
      </c>
      <c r="G28" s="31" t="n">
        <v>0.02</v>
      </c>
      <c r="H28" s="30" t="n">
        <v>150000</v>
      </c>
      <c r="I28" s="32" t="n"/>
      <c r="J28" s="32" t="n"/>
      <c r="K28" s="32" t="n"/>
      <c r="L28" s="33">
        <f>IF(COUNT(I28:K28)=3,I28*J28*K28,"")</f>
        <v/>
      </c>
      <c r="M28" s="32" t="n"/>
      <c r="N28" s="32" t="n"/>
      <c r="O28" s="12" t="n"/>
    </row>
    <row r="29" ht="24" customHeight="1">
      <c r="A29" s="10" t="inlineStr">
        <is>
          <t>Dandenong Letter Center</t>
        </is>
      </c>
      <c r="B29" s="11" t="inlineStr">
        <is>
          <t>Unload — Loose Hand</t>
        </is>
      </c>
      <c r="C29" s="29" t="inlineStr">
        <is>
          <t>UNLOAD_LOOSE</t>
        </is>
      </c>
      <c r="D29" s="30" t="n">
        <v>1</v>
      </c>
      <c r="E29" s="30" t="n">
        <v>750</v>
      </c>
      <c r="F29" s="30" t="n">
        <v>20</v>
      </c>
      <c r="G29" s="31" t="n">
        <v>0.05</v>
      </c>
      <c r="H29" s="30" t="n">
        <v>50000</v>
      </c>
      <c r="I29" s="32" t="n"/>
      <c r="J29" s="32" t="n"/>
      <c r="K29" s="32" t="n"/>
      <c r="L29" s="33">
        <f>IF(COUNT(I29:K29)=3,I29*J29*K29,"")</f>
        <v/>
      </c>
      <c r="M29" s="32" t="n"/>
      <c r="N29" s="32" t="n"/>
      <c r="O29" s="12" t="n"/>
    </row>
    <row r="30" ht="24" customHeight="1">
      <c r="A30" s="10" t="n"/>
      <c r="B30" s="11" t="inlineStr">
        <is>
          <t>Unload — Forklift / ULD</t>
        </is>
      </c>
      <c r="C30" s="29" t="inlineStr">
        <is>
          <t>UNLOAD_ULD</t>
        </is>
      </c>
      <c r="D30" s="30" t="n">
        <v>1</v>
      </c>
      <c r="E30" s="30" t="n">
        <v>2750</v>
      </c>
      <c r="F30" s="30" t="n">
        <v>20</v>
      </c>
      <c r="G30" s="31" t="n">
        <v>0.015</v>
      </c>
      <c r="H30" s="30" t="n">
        <v>250000</v>
      </c>
      <c r="I30" s="32" t="n"/>
      <c r="J30" s="32" t="n"/>
      <c r="K30" s="32" t="n"/>
      <c r="L30" s="33">
        <f>IF(COUNT(I30:K30)=3,I30*J30*K30,"")</f>
        <v/>
      </c>
      <c r="M30" s="32" t="n"/>
      <c r="N30" s="32" t="n"/>
      <c r="O30" s="12" t="n"/>
    </row>
    <row r="31" ht="24" customHeight="1">
      <c r="A31" s="10" t="n"/>
      <c r="B31" s="11" t="inlineStr">
        <is>
          <t>Unload — Loose Longreach</t>
        </is>
      </c>
      <c r="C31" s="29" t="inlineStr">
        <is>
          <t>UNLOAD_LONGREACH</t>
        </is>
      </c>
      <c r="D31" s="30" t="n">
        <v>1</v>
      </c>
      <c r="E31" s="30" t="n">
        <v>1750</v>
      </c>
      <c r="F31" s="30" t="n">
        <v>20</v>
      </c>
      <c r="G31" s="31" t="n">
        <v>0.02</v>
      </c>
      <c r="H31" s="30" t="n">
        <v>150000</v>
      </c>
      <c r="I31" s="32" t="n"/>
      <c r="J31" s="32" t="n"/>
      <c r="K31" s="32" t="n"/>
      <c r="L31" s="33">
        <f>IF(COUNT(I31:K31)=3,I31*J31*K31,"")</f>
        <v/>
      </c>
      <c r="M31" s="32" t="n"/>
      <c r="N31" s="32" t="n"/>
      <c r="O31" s="12" t="n"/>
    </row>
    <row r="32" ht="24" customHeight="1">
      <c r="A32" s="10" t="n"/>
      <c r="B32" s="11" t="inlineStr">
        <is>
          <t>Sort — SPS Manual</t>
        </is>
      </c>
      <c r="C32" s="29" t="inlineStr">
        <is>
          <t>MANUAL_SORT</t>
        </is>
      </c>
      <c r="D32" s="30" t="n">
        <v>1</v>
      </c>
      <c r="E32" s="30" t="n">
        <v>1250</v>
      </c>
      <c r="F32" s="30" t="n">
        <v>20</v>
      </c>
      <c r="G32" s="31" t="n">
        <v>0.06</v>
      </c>
      <c r="H32" s="30" t="n">
        <v>100000</v>
      </c>
      <c r="I32" s="32" t="n"/>
      <c r="J32" s="32" t="n"/>
      <c r="K32" s="32" t="n"/>
      <c r="L32" s="33">
        <f>IF(COUNT(I32:K32)=3,I32*J32*K32,"")</f>
        <v/>
      </c>
      <c r="M32" s="32" t="n"/>
      <c r="N32" s="32" t="n"/>
      <c r="O32" s="12" t="n"/>
    </row>
    <row r="33" ht="24" customHeight="1">
      <c r="A33" s="10" t="n"/>
      <c r="B33" s="11" t="inlineStr">
        <is>
          <t>Sort — SPS Automated</t>
        </is>
      </c>
      <c r="C33" s="29" t="inlineStr">
        <is>
          <t>SMALL_AUTO_SORT</t>
        </is>
      </c>
      <c r="D33" s="30" t="n">
        <v>1</v>
      </c>
      <c r="E33" s="24" t="n">
        <v>10000</v>
      </c>
      <c r="F33" s="30" t="n">
        <v>20</v>
      </c>
      <c r="G33" s="31" t="n">
        <v>0.02</v>
      </c>
      <c r="H33" s="30" t="n">
        <v>800000</v>
      </c>
      <c r="I33" s="32" t="n"/>
      <c r="J33" s="32" t="n"/>
      <c r="K33" s="32" t="n"/>
      <c r="L33" s="33">
        <f>IF(COUNT(I33:K33)=3,I33*J33*K33,"")</f>
        <v/>
      </c>
      <c r="M33" s="32" t="n"/>
      <c r="N33" s="32" t="n"/>
      <c r="O33" s="12" t="n"/>
    </row>
    <row r="34" ht="24" customHeight="1">
      <c r="A34" s="10" t="n"/>
      <c r="B34" s="11" t="inlineStr">
        <is>
          <t>Load — Loose Hand</t>
        </is>
      </c>
      <c r="C34" s="29" t="inlineStr">
        <is>
          <t>LOAD_LOOSE</t>
        </is>
      </c>
      <c r="D34" s="30" t="n">
        <v>1</v>
      </c>
      <c r="E34" s="30" t="n">
        <v>750</v>
      </c>
      <c r="F34" s="30" t="n">
        <v>20</v>
      </c>
      <c r="G34" s="31" t="n">
        <v>0.05</v>
      </c>
      <c r="H34" s="30" t="n">
        <v>50000</v>
      </c>
      <c r="I34" s="32" t="n"/>
      <c r="J34" s="32" t="n"/>
      <c r="K34" s="32" t="n"/>
      <c r="L34" s="33">
        <f>IF(COUNT(I34:K34)=3,I34*J34*K34,"")</f>
        <v/>
      </c>
      <c r="M34" s="32" t="n"/>
      <c r="N34" s="32" t="n"/>
      <c r="O34" s="12" t="n"/>
    </row>
    <row r="35" ht="24" customHeight="1">
      <c r="A35" s="10" t="n"/>
      <c r="B35" s="11" t="inlineStr">
        <is>
          <t>Load — Forklift / ULD</t>
        </is>
      </c>
      <c r="C35" s="29" t="inlineStr">
        <is>
          <t>LOAD_ULD</t>
        </is>
      </c>
      <c r="D35" s="30" t="n">
        <v>1</v>
      </c>
      <c r="E35" s="30" t="n">
        <v>2750</v>
      </c>
      <c r="F35" s="30" t="n">
        <v>20</v>
      </c>
      <c r="G35" s="31" t="n">
        <v>0.015</v>
      </c>
      <c r="H35" s="30" t="n">
        <v>250000</v>
      </c>
      <c r="I35" s="32" t="n"/>
      <c r="J35" s="32" t="n"/>
      <c r="K35" s="32" t="n"/>
      <c r="L35" s="33">
        <f>IF(COUNT(I35:K35)=3,I35*J35*K35,"")</f>
        <v/>
      </c>
      <c r="M35" s="32" t="n"/>
      <c r="N35" s="32" t="n"/>
      <c r="O35" s="12" t="n"/>
    </row>
    <row r="36" ht="24" customHeight="1">
      <c r="A36" s="10" t="n"/>
      <c r="B36" s="11" t="inlineStr">
        <is>
          <t>Load — Loose Longreach</t>
        </is>
      </c>
      <c r="C36" s="29" t="inlineStr">
        <is>
          <t>LOAD_LONGREACH</t>
        </is>
      </c>
      <c r="D36" s="30" t="n">
        <v>1</v>
      </c>
      <c r="E36" s="30" t="n">
        <v>1750</v>
      </c>
      <c r="F36" s="30" t="n">
        <v>20</v>
      </c>
      <c r="G36" s="31" t="n">
        <v>0.02</v>
      </c>
      <c r="H36" s="30" t="n">
        <v>150000</v>
      </c>
      <c r="I36" s="32" t="n"/>
      <c r="J36" s="32" t="n"/>
      <c r="K36" s="32" t="n"/>
      <c r="L36" s="33">
        <f>IF(COUNT(I36:K36)=3,I36*J36*K36,"")</f>
        <v/>
      </c>
      <c r="M36" s="32" t="n"/>
      <c r="N36" s="32" t="n"/>
      <c r="O36" s="12" t="n"/>
    </row>
    <row r="37" ht="24" customHeight="1">
      <c r="A37" s="10" t="inlineStr">
        <is>
          <t>Bayswater PDC</t>
        </is>
      </c>
      <c r="B37" s="11" t="inlineStr">
        <is>
          <t>Bag unloading (first-mile bags)</t>
        </is>
      </c>
      <c r="C37" s="29" t="inlineStr">
        <is>
          <t>BAG_UNLOADING</t>
        </is>
      </c>
      <c r="D37" s="30" t="n">
        <v>1</v>
      </c>
      <c r="E37" s="30" t="n">
        <v>1250</v>
      </c>
      <c r="F37" s="30" t="n">
        <v>20</v>
      </c>
      <c r="G37" s="31" t="n">
        <v>0.03</v>
      </c>
      <c r="H37" s="30" t="n">
        <v>50000</v>
      </c>
      <c r="I37" s="32" t="n"/>
      <c r="J37" s="32" t="n"/>
      <c r="K37" s="32" t="n"/>
      <c r="L37" s="33">
        <f>IF(COUNT(I37:K37)=3,I37*J37*K37,"")</f>
        <v/>
      </c>
      <c r="M37" s="32" t="n"/>
      <c r="N37" s="32" t="n"/>
      <c r="O37" s="12" t="n"/>
    </row>
    <row r="38" ht="24" customHeight="1">
      <c r="A38" s="10" t="n"/>
      <c r="B38" s="11" t="inlineStr">
        <is>
          <t>Sort — LPS Automated</t>
        </is>
      </c>
      <c r="C38" s="29" t="inlineStr">
        <is>
          <t>LARGE_AUTO_SORT</t>
        </is>
      </c>
      <c r="D38" s="30" t="n">
        <v>1</v>
      </c>
      <c r="E38" s="24" t="n">
        <v>7000</v>
      </c>
      <c r="F38" s="30" t="n">
        <v>20</v>
      </c>
      <c r="G38" s="31" t="n">
        <v>0.01</v>
      </c>
      <c r="H38" s="30" t="n">
        <v>2500000</v>
      </c>
      <c r="I38" s="32" t="n"/>
      <c r="J38" s="32" t="n"/>
      <c r="K38" s="32" t="n"/>
      <c r="L38" s="33">
        <f>IF(COUNT(I38:K38)=3,I38*J38*K38,"")</f>
        <v/>
      </c>
      <c r="M38" s="32" t="n"/>
      <c r="N38" s="32" t="n"/>
      <c r="O38" s="12" t="n"/>
    </row>
    <row r="39" ht="24" customHeight="1">
      <c r="A39" s="10" t="inlineStr">
        <is>
          <t>Melbourne North PDC</t>
        </is>
      </c>
      <c r="B39" s="11" t="inlineStr">
        <is>
          <t>Bag unloading (first-mile bags)</t>
        </is>
      </c>
      <c r="C39" s="29" t="inlineStr">
        <is>
          <t>BAG_UNLOADING</t>
        </is>
      </c>
      <c r="D39" s="30" t="n">
        <v>1</v>
      </c>
      <c r="E39" s="30" t="n">
        <v>1250</v>
      </c>
      <c r="F39" s="30" t="n">
        <v>20</v>
      </c>
      <c r="G39" s="31" t="n">
        <v>0.03</v>
      </c>
      <c r="H39" s="30" t="n">
        <v>50000</v>
      </c>
      <c r="I39" s="32" t="n"/>
      <c r="J39" s="32" t="n"/>
      <c r="K39" s="32" t="n"/>
      <c r="L39" s="33">
        <f>IF(COUNT(I39:K39)=3,I39*J39*K39,"")</f>
        <v/>
      </c>
      <c r="M39" s="32" t="n"/>
      <c r="N39" s="32" t="n"/>
      <c r="O39" s="12" t="n"/>
    </row>
    <row r="40" ht="24" customHeight="1">
      <c r="A40" s="10" t="n"/>
      <c r="B40" s="11" t="inlineStr">
        <is>
          <t>Sort — LPS Automated</t>
        </is>
      </c>
      <c r="C40" s="29" t="inlineStr">
        <is>
          <t>LARGE_AUTO_SORT</t>
        </is>
      </c>
      <c r="D40" s="30" t="n">
        <v>1</v>
      </c>
      <c r="E40" s="24" t="n">
        <v>6700</v>
      </c>
      <c r="F40" s="30" t="n">
        <v>20</v>
      </c>
      <c r="G40" s="31" t="n">
        <v>0.01</v>
      </c>
      <c r="H40" s="30" t="n">
        <v>2500000</v>
      </c>
      <c r="I40" s="32" t="n"/>
      <c r="J40" s="32" t="n"/>
      <c r="K40" s="32" t="n"/>
      <c r="L40" s="33">
        <f>IF(COUNT(I40:K40)=3,I40*J40*K40,"")</f>
        <v/>
      </c>
      <c r="M40" s="32" t="n"/>
      <c r="N40" s="32" t="n"/>
      <c r="O40" s="12" t="n"/>
    </row>
    <row r="41" ht="24" customHeight="1">
      <c r="A41" s="10" t="inlineStr">
        <is>
          <t>Sunshine West PDC</t>
        </is>
      </c>
      <c r="B41" s="11" t="inlineStr">
        <is>
          <t>Bag unloading (first-mile bags)</t>
        </is>
      </c>
      <c r="C41" s="29" t="inlineStr">
        <is>
          <t>BAG_UNLOADING</t>
        </is>
      </c>
      <c r="D41" s="30" t="n">
        <v>1</v>
      </c>
      <c r="E41" s="30" t="n">
        <v>1250</v>
      </c>
      <c r="F41" s="30" t="n">
        <v>20</v>
      </c>
      <c r="G41" s="31" t="n">
        <v>0.03</v>
      </c>
      <c r="H41" s="30" t="n">
        <v>50000</v>
      </c>
      <c r="I41" s="32" t="n"/>
      <c r="J41" s="32" t="n"/>
      <c r="K41" s="32" t="n"/>
      <c r="L41" s="33">
        <f>IF(COUNT(I41:K41)=3,I41*J41*K41,"")</f>
        <v/>
      </c>
      <c r="M41" s="32" t="n"/>
      <c r="N41" s="32" t="n"/>
      <c r="O41" s="12" t="n"/>
    </row>
    <row r="42" ht="24" customHeight="1">
      <c r="A42" s="10" t="n"/>
      <c r="B42" s="11" t="inlineStr">
        <is>
          <t>Sort — LPS Automated</t>
        </is>
      </c>
      <c r="C42" s="29" t="inlineStr">
        <is>
          <t>LARGE_AUTO_SORT</t>
        </is>
      </c>
      <c r="D42" s="30" t="n">
        <v>1</v>
      </c>
      <c r="E42" s="24" t="n">
        <v>10000</v>
      </c>
      <c r="F42" s="30" t="n">
        <v>20</v>
      </c>
      <c r="G42" s="31" t="n">
        <v>0.01</v>
      </c>
      <c r="H42" s="30" t="n">
        <v>2500000</v>
      </c>
      <c r="I42" s="32" t="n"/>
      <c r="J42" s="32" t="n"/>
      <c r="K42" s="32" t="n"/>
      <c r="L42" s="33">
        <f>IF(COUNT(I42:K42)=3,I42*J42*K42,"")</f>
        <v/>
      </c>
      <c r="M42" s="32" t="n"/>
      <c r="N42" s="32" t="n"/>
      <c r="O42" s="12" t="n"/>
    </row>
    <row r="43" ht="24" customHeight="1">
      <c r="A43" s="10" t="inlineStr">
        <is>
          <t>Dandenong Letter Center</t>
        </is>
      </c>
      <c r="B43" s="11" t="inlineStr">
        <is>
          <t>— as a PDC scenario only —</t>
        </is>
      </c>
      <c r="C43" s="29" t="n"/>
      <c r="D43" s="30" t="n"/>
      <c r="E43" s="30" t="n"/>
      <c r="F43" s="30" t="n"/>
      <c r="G43" s="31" t="n"/>
      <c r="H43" s="30" t="n"/>
      <c r="I43" s="32" t="n"/>
      <c r="J43" s="32" t="n"/>
      <c r="K43" s="32" t="n"/>
      <c r="L43" s="32" t="n"/>
      <c r="M43" s="32" t="n"/>
      <c r="N43" s="32" t="n"/>
      <c r="O43" s="12" t="n"/>
    </row>
    <row r="44" ht="24" customHeight="1">
      <c r="A44" s="10" t="inlineStr">
        <is>
          <t>Dandenong Letter Center (as PDC)</t>
        </is>
      </c>
      <c r="B44" s="11" t="inlineStr">
        <is>
          <t>Bag unloading (first-mile bags)</t>
        </is>
      </c>
      <c r="C44" s="29" t="inlineStr">
        <is>
          <t>BAG_UNLOADING</t>
        </is>
      </c>
      <c r="D44" s="30" t="n">
        <v>1</v>
      </c>
      <c r="E44" s="30" t="n">
        <v>1250</v>
      </c>
      <c r="F44" s="30" t="n">
        <v>20</v>
      </c>
      <c r="G44" s="31" t="n">
        <v>0.03</v>
      </c>
      <c r="H44" s="30" t="n">
        <v>50000</v>
      </c>
      <c r="I44" s="32" t="n"/>
      <c r="J44" s="32" t="n"/>
      <c r="K44" s="32" t="n"/>
      <c r="L44" s="33">
        <f>IF(COUNT(I44:K44)=3,I44*J44*K44,"")</f>
        <v/>
      </c>
      <c r="M44" s="32" t="n"/>
      <c r="N44" s="32" t="n"/>
      <c r="O44" s="12" t="n"/>
    </row>
    <row r="45" ht="24" customHeight="1">
      <c r="A45" s="10" t="n"/>
      <c r="B45" s="11" t="inlineStr">
        <is>
          <t>Sort — SPS Automated</t>
        </is>
      </c>
      <c r="C45" s="29" t="inlineStr">
        <is>
          <t>SMALL_AUTO_SORT</t>
        </is>
      </c>
      <c r="D45" s="30" t="n">
        <v>1</v>
      </c>
      <c r="E45" s="24" t="n">
        <v>10000</v>
      </c>
      <c r="F45" s="30" t="n">
        <v>20</v>
      </c>
      <c r="G45" s="31" t="n">
        <v>0.02</v>
      </c>
      <c r="H45" s="30" t="n">
        <v>800000</v>
      </c>
      <c r="I45" s="32" t="n"/>
      <c r="J45" s="32" t="n"/>
      <c r="K45" s="32" t="n"/>
      <c r="L45" s="33">
        <f>IF(COUNT(I45:K45)=3,I45*J45*K45,"")</f>
        <v/>
      </c>
      <c r="M45" s="32" t="n"/>
      <c r="N45" s="32" t="n"/>
      <c r="O45" s="12" t="n"/>
    </row>
    <row r="46" ht="24" customHeight="1">
      <c r="A46" s="10" t="inlineStr">
        <is>
          <t>Dandenong Transport Facility</t>
        </is>
      </c>
      <c r="B46" s="11" t="inlineStr">
        <is>
          <t>No equipment modelled — is that right?</t>
        </is>
      </c>
      <c r="C46" s="29" t="n"/>
      <c r="D46" s="30" t="n"/>
      <c r="E46" s="30" t="n"/>
      <c r="F46" s="30" t="n"/>
      <c r="G46" s="31" t="n"/>
      <c r="H46" s="30" t="n"/>
      <c r="I46" s="32" t="n"/>
      <c r="J46" s="32" t="n"/>
      <c r="K46" s="32" t="n"/>
      <c r="L46" s="32" t="n"/>
      <c r="M46" s="32" t="n"/>
      <c r="N46" s="32" t="n"/>
      <c r="O46" s="12" t="n"/>
    </row>
    <row r="47" ht="24" customHeight="1">
      <c r="A47" s="10" t="inlineStr">
        <is>
          <t>Melbourne Transport</t>
        </is>
      </c>
      <c r="B47" s="11" t="inlineStr">
        <is>
          <t>No equipment modelled — is that right?</t>
        </is>
      </c>
      <c r="C47" s="29" t="n"/>
      <c r="D47" s="30" t="n"/>
      <c r="E47" s="30" t="n"/>
      <c r="F47" s="30" t="n"/>
      <c r="G47" s="31" t="n"/>
      <c r="H47" s="30" t="n"/>
      <c r="I47" s="32" t="n"/>
      <c r="J47" s="32" t="n"/>
      <c r="K47" s="32" t="n"/>
      <c r="L47" s="32" t="n"/>
      <c r="M47" s="32" t="n"/>
      <c r="N47" s="32" t="n"/>
      <c r="O47" s="12" t="n"/>
    </row>
    <row r="49" ht="26" customHeight="1">
      <c r="A49" s="27" t="inlineStr">
        <is>
          <t>• Rates are shown per hour so the hours-per-day assumption is visible. The model currently runs every machine at 20 hours a day — correct this in column K if that is wrong.</t>
        </is>
      </c>
    </row>
    <row r="50" ht="26" customHeight="1">
      <c r="A50" s="27" t="inlineStr">
        <is>
          <t>• MACHINE COUNT (column I) is the most important number here. The model assumes one machine of each type per hub. If a hub has two forklift unload lines rather than one, its capacity doubles.</t>
        </is>
      </c>
    </row>
    <row r="51" ht="26" customHeight="1">
      <c r="A51" s="27" t="inlineStr">
        <is>
          <t>• Labour cost per parcel should be the loaded cost of the people running that machine, divided by parcels handled. If you would rather give us hourly rate and headcount, put that in the notes and we will work it out.</t>
        </is>
      </c>
    </row>
    <row r="52" ht="26" customHeight="1">
      <c r="A52" s="27" t="inlineStr">
        <is>
          <t>• Add rows for any equipment we have missed.</t>
        </is>
      </c>
    </row>
  </sheetData>
  <mergeCells count="7">
    <mergeCell ref="I1:O1"/>
    <mergeCell ref="A51:O51"/>
    <mergeCell ref="A1:C1"/>
    <mergeCell ref="A52:O52"/>
    <mergeCell ref="D1:H1"/>
    <mergeCell ref="A49:O49"/>
    <mergeCell ref="A50:O5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
  <sheetViews>
    <sheetView workbookViewId="0">
      <pane ySplit="2" topLeftCell="A3" activePane="bottomLeft" state="frozen"/>
      <selection pane="bottomLeft" activeCell="A1" sqref="A1"/>
    </sheetView>
  </sheetViews>
  <sheetFormatPr baseColWidth="8" defaultRowHeight="15"/>
  <cols>
    <col width="30" customWidth="1" min="1" max="1"/>
    <col width="15" customWidth="1" min="2" max="2"/>
    <col width="14" customWidth="1" min="3" max="3"/>
    <col width="13" customWidth="1" min="4" max="4"/>
    <col width="13" customWidth="1" min="5" max="5"/>
    <col width="14" customWidth="1" min="6" max="6"/>
    <col width="13" customWidth="1" min="7" max="7"/>
    <col width="13" customWidth="1" min="8" max="8"/>
    <col width="14" customWidth="1" min="9" max="9"/>
    <col width="16" customWidth="1" min="10" max="10"/>
    <col width="32" customWidth="1" min="11" max="11"/>
  </cols>
  <sheetData>
    <row r="1">
      <c r="A1" s="13" t="inlineStr">
        <is>
          <t>Model today</t>
        </is>
      </c>
      <c r="B1" s="14" t="n"/>
      <c r="C1" s="14" t="n"/>
      <c r="D1" s="15" t="inlineStr">
        <is>
          <t>Please confirm or correct</t>
        </is>
      </c>
      <c r="E1" s="14" t="n"/>
      <c r="F1" s="14" t="n"/>
      <c r="G1" s="14" t="n"/>
      <c r="H1" s="14" t="n"/>
      <c r="I1" s="14" t="n"/>
      <c r="J1" s="14" t="n"/>
      <c r="K1" s="14" t="n"/>
    </row>
    <row r="2" ht="58" customHeight="1">
      <c r="A2" s="9" t="inlineStr">
        <is>
          <t>Site</t>
        </is>
      </c>
      <c r="B2" s="9" t="inlineStr">
        <is>
          <t>Delivery volume
in the model
(parcels/day)</t>
        </is>
      </c>
      <c r="C2" s="9" t="inlineStr">
        <is>
          <t>Drivers the
model implies</t>
        </is>
      </c>
      <c r="D2" s="9" t="inlineStr">
        <is>
          <t>Actual
drivers</t>
        </is>
      </c>
      <c r="E2" s="9" t="inlineStr">
        <is>
          <t>Actual daily
volume</t>
        </is>
      </c>
      <c r="F2" s="9" t="inlineStr">
        <is>
          <t>Parcels loaded
per hour
per driver</t>
        </is>
      </c>
      <c r="G2" s="9" t="inlineStr">
        <is>
          <t>Van capacity
(parcels)</t>
        </is>
      </c>
      <c r="H2" s="9" t="inlineStr">
        <is>
          <t>Loading window
(hours)</t>
        </is>
      </c>
      <c r="I2" s="9" t="inlineStr">
        <is>
          <t>Rounds per
driver per day</t>
        </is>
      </c>
      <c r="J2" s="9" t="inlineStr">
        <is>
          <t>Loaded driver
wage ($/hour)</t>
        </is>
      </c>
      <c r="K2" s="9" t="inlineStr">
        <is>
          <t>Notes</t>
        </is>
      </c>
    </row>
    <row r="3" ht="24" customHeight="1">
      <c r="A3" s="16" t="inlineStr">
        <is>
          <t>Sunshine West PDC</t>
        </is>
      </c>
      <c r="B3" s="23" t="n">
        <v>36979</v>
      </c>
      <c r="C3" s="23" t="n">
        <v>232</v>
      </c>
      <c r="D3" s="20" t="n"/>
      <c r="E3" s="20" t="n"/>
      <c r="F3" s="20" t="n"/>
      <c r="G3" s="20" t="n"/>
      <c r="H3" s="20" t="n"/>
      <c r="I3" s="20" t="n"/>
      <c r="J3" s="20" t="n"/>
      <c r="K3" s="21" t="n"/>
    </row>
    <row r="4" ht="24" customHeight="1">
      <c r="A4" s="16" t="inlineStr">
        <is>
          <t>Bayswater PDC</t>
        </is>
      </c>
      <c r="B4" s="23" t="n">
        <v>23744</v>
      </c>
      <c r="C4" s="23" t="n">
        <v>149</v>
      </c>
      <c r="D4" s="20" t="n"/>
      <c r="E4" s="20" t="n"/>
      <c r="F4" s="20" t="n"/>
      <c r="G4" s="20" t="n"/>
      <c r="H4" s="20" t="n"/>
      <c r="I4" s="20" t="n"/>
      <c r="J4" s="20" t="n"/>
      <c r="K4" s="21" t="n"/>
    </row>
    <row r="5" ht="24" customHeight="1">
      <c r="A5" s="16" t="inlineStr">
        <is>
          <t>Oakleigh South PDC</t>
        </is>
      </c>
      <c r="B5" s="23" t="n">
        <v>20617</v>
      </c>
      <c r="C5" s="23" t="n">
        <v>129</v>
      </c>
      <c r="D5" s="20" t="n"/>
      <c r="E5" s="20" t="n"/>
      <c r="F5" s="20" t="n"/>
      <c r="G5" s="20" t="n"/>
      <c r="H5" s="20" t="n"/>
      <c r="I5" s="20" t="n"/>
      <c r="J5" s="20" t="n"/>
      <c r="K5" s="21" t="n"/>
    </row>
    <row r="6" ht="24" customHeight="1">
      <c r="A6" s="16" t="inlineStr">
        <is>
          <t>Darebin PDC</t>
        </is>
      </c>
      <c r="B6" s="23" t="n">
        <v>20152</v>
      </c>
      <c r="C6" s="23" t="n">
        <v>126</v>
      </c>
      <c r="D6" s="20" t="n"/>
      <c r="E6" s="20" t="n"/>
      <c r="F6" s="20" t="n"/>
      <c r="G6" s="20" t="n"/>
      <c r="H6" s="20" t="n"/>
      <c r="I6" s="20" t="n"/>
      <c r="J6" s="20" t="n"/>
      <c r="K6" s="21" t="n"/>
    </row>
    <row r="7" ht="24" customHeight="1">
      <c r="A7" s="16" t="inlineStr">
        <is>
          <t>Melbourne North PDC</t>
        </is>
      </c>
      <c r="B7" s="23" t="n">
        <v>16148</v>
      </c>
      <c r="C7" s="23" t="n">
        <v>101</v>
      </c>
      <c r="D7" s="20" t="n"/>
      <c r="E7" s="20" t="n"/>
      <c r="F7" s="20" t="n"/>
      <c r="G7" s="20" t="n"/>
      <c r="H7" s="20" t="n"/>
      <c r="I7" s="20" t="n"/>
      <c r="J7" s="20" t="n"/>
      <c r="K7" s="21" t="n"/>
    </row>
    <row r="8" ht="24" customHeight="1">
      <c r="A8" s="16" t="inlineStr">
        <is>
          <t>Dandenong South PDC</t>
        </is>
      </c>
      <c r="B8" s="23" t="n">
        <v>13810</v>
      </c>
      <c r="C8" s="23" t="n">
        <v>87</v>
      </c>
      <c r="D8" s="20" t="n"/>
      <c r="E8" s="20" t="n"/>
      <c r="F8" s="20" t="n"/>
      <c r="G8" s="20" t="n"/>
      <c r="H8" s="20" t="n"/>
      <c r="I8" s="20" t="n"/>
      <c r="J8" s="20" t="n"/>
      <c r="K8" s="21" t="n"/>
    </row>
    <row r="9" ht="24" customHeight="1">
      <c r="A9" s="16" t="inlineStr">
        <is>
          <t>Tullamarine PDC</t>
        </is>
      </c>
      <c r="B9" s="23" t="n">
        <v>11593</v>
      </c>
      <c r="C9" s="23" t="n">
        <v>73</v>
      </c>
      <c r="D9" s="20" t="n"/>
      <c r="E9" s="20" t="n"/>
      <c r="F9" s="20" t="n"/>
      <c r="G9" s="20" t="n"/>
      <c r="H9" s="20" t="n"/>
      <c r="I9" s="20" t="n"/>
      <c r="J9" s="20" t="n"/>
      <c r="K9" s="21" t="n"/>
    </row>
    <row r="10" ht="24" customHeight="1">
      <c r="A10" s="16" t="inlineStr">
        <is>
          <t>Pakenham PDC</t>
        </is>
      </c>
      <c r="B10" s="23" t="n">
        <v>10497</v>
      </c>
      <c r="C10" s="23" t="n">
        <v>66</v>
      </c>
      <c r="D10" s="20" t="n"/>
      <c r="E10" s="20" t="n"/>
      <c r="F10" s="20" t="n"/>
      <c r="G10" s="20" t="n"/>
      <c r="H10" s="20" t="n"/>
      <c r="I10" s="20" t="n"/>
      <c r="J10" s="20" t="n"/>
      <c r="K10" s="21" t="n"/>
    </row>
    <row r="11" ht="24" customHeight="1">
      <c r="A11" s="16" t="inlineStr">
        <is>
          <t>Mulgrave PDC</t>
        </is>
      </c>
      <c r="B11" s="23" t="n">
        <v>5169</v>
      </c>
      <c r="C11" s="23" t="n">
        <v>33</v>
      </c>
      <c r="D11" s="20" t="n"/>
      <c r="E11" s="20" t="n"/>
      <c r="F11" s="20" t="n"/>
      <c r="G11" s="20" t="n"/>
      <c r="H11" s="20" t="n"/>
      <c r="I11" s="20" t="n"/>
      <c r="J11" s="20" t="n"/>
      <c r="K11" s="21" t="n"/>
    </row>
    <row r="12" ht="24" customHeight="1">
      <c r="A12" s="16" t="inlineStr">
        <is>
          <t>Abbotsford Parcel Delivery</t>
        </is>
      </c>
      <c r="B12" s="23" t="n">
        <v>4848</v>
      </c>
      <c r="C12" s="23" t="n">
        <v>31</v>
      </c>
      <c r="D12" s="20" t="n"/>
      <c r="E12" s="20" t="n"/>
      <c r="F12" s="20" t="n"/>
      <c r="G12" s="20" t="n"/>
      <c r="H12" s="20" t="n"/>
      <c r="I12" s="20" t="n"/>
      <c r="J12" s="20" t="n"/>
      <c r="K12" s="21" t="n"/>
    </row>
    <row r="13" ht="24" customHeight="1">
      <c r="A13" s="16" t="inlineStr">
        <is>
          <t>Mount Waverley PDC</t>
        </is>
      </c>
      <c r="B13" s="23" t="n">
        <v>3874</v>
      </c>
      <c r="C13" s="23" t="n">
        <v>25</v>
      </c>
      <c r="D13" s="20" t="n"/>
      <c r="E13" s="20" t="n"/>
      <c r="F13" s="20" t="n"/>
      <c r="G13" s="20" t="n"/>
      <c r="H13" s="20" t="n"/>
      <c r="I13" s="20" t="n"/>
      <c r="J13" s="20" t="n"/>
      <c r="K13" s="21" t="n"/>
    </row>
    <row r="14" ht="24" customHeight="1">
      <c r="A14" s="16" t="inlineStr">
        <is>
          <t>Dandenong Letter Center</t>
        </is>
      </c>
      <c r="B14" s="23" t="n">
        <v>0</v>
      </c>
      <c r="C14" s="23" t="n">
        <v>0</v>
      </c>
      <c r="D14" s="20" t="n"/>
      <c r="E14" s="20" t="n"/>
      <c r="F14" s="20" t="n"/>
      <c r="G14" s="20" t="n"/>
      <c r="H14" s="20" t="n"/>
      <c r="I14" s="20" t="n"/>
      <c r="J14" s="20" t="n"/>
      <c r="K14" s="21" t="n"/>
    </row>
    <row r="16" ht="26" customHeight="1">
      <c r="A16" s="27" t="inlineStr">
        <is>
          <t>• The model uses: 80 parcels loaded per hour per driver, a 2 hour loading window, and one round per driver per day. That works out to 160 parcels per van, against a van that physically holds 180.</t>
        </is>
      </c>
    </row>
    <row r="17" ht="26" customHeight="1">
      <c r="A17" s="27" t="inlineStr">
        <is>
          <t>• The 80 per hour, 180 van and 2 hour window came from ops. The $40/hour wage is our guess — please correct it.</t>
        </is>
      </c>
    </row>
    <row r="18" ht="26" customHeight="1">
      <c r="A18" s="27" t="inlineStr">
        <is>
          <t>• Dandenong Letter Center shows zero because in the PDC scenario it has no delivery area yet. If it should have one, tell us which suburbs or rounds move to it.</t>
        </is>
      </c>
    </row>
  </sheetData>
  <mergeCells count="5">
    <mergeCell ref="A18:K18"/>
    <mergeCell ref="A1:C1"/>
    <mergeCell ref="D1:K1"/>
    <mergeCell ref="A16:K16"/>
    <mergeCell ref="A17:K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6" customWidth="1" min="1" max="1"/>
    <col width="78" customWidth="1" min="2" max="2"/>
    <col width="14" customWidth="1" min="3" max="3"/>
    <col width="52" customWidth="1" min="4" max="4"/>
  </cols>
  <sheetData>
    <row r="1" ht="24" customHeight="1">
      <c r="A1" s="9" t="inlineStr">
        <is>
          <t>#</t>
        </is>
      </c>
      <c r="B1" s="9" t="inlineStr">
        <is>
          <t>Question</t>
        </is>
      </c>
      <c r="C1" s="9" t="inlineStr">
        <is>
          <t>Yes / No</t>
        </is>
      </c>
      <c r="D1" s="9" t="inlineStr">
        <is>
          <t>Comment</t>
        </is>
      </c>
    </row>
    <row r="2" ht="34" customHeight="1">
      <c r="A2" s="34" t="n">
        <v>1</v>
      </c>
      <c r="B2" s="11" t="inlineStr">
        <is>
          <t>Is every parcel for local delivery sorted twice at hub level, at two different hubs? The model assumes it is. If some volume is sorted once, tell us roughly what share.</t>
        </is>
      </c>
      <c r="C2" s="20" t="n"/>
      <c r="D2" s="21" t="n"/>
    </row>
    <row r="3" ht="34" customHeight="1">
      <c r="A3" s="34" t="n">
        <v>2</v>
      </c>
      <c r="B3" s="11" t="inlineStr">
        <is>
          <t>Do machines really run around 20 hours a day? If not, what is the real window per machine type?</t>
        </is>
      </c>
      <c r="C3" s="20" t="n"/>
      <c r="D3" s="21" t="n"/>
    </row>
    <row r="4" ht="34" customHeight="1">
      <c r="A4" s="34" t="n">
        <v>3</v>
      </c>
      <c r="B4" s="11" t="inlineStr">
        <is>
          <t>Roughly what share of volume goes through manual sort rather than an automated sorter? The model forces 10%.</t>
        </is>
      </c>
      <c r="C4" s="20" t="n"/>
      <c r="D4" s="21" t="n"/>
    </row>
    <row r="5" ht="34" customHeight="1">
      <c r="A5" s="34" t="n">
        <v>4</v>
      </c>
      <c r="B5" s="11" t="inlineStr">
        <is>
          <t>At Sunshine West, Melbourne North and Bayswater — is around 20% of the parcels picked up locally also delivered locally, sorted on site and held for the next day?</t>
        </is>
      </c>
      <c r="C5" s="20" t="n"/>
      <c r="D5" s="21" t="n"/>
    </row>
    <row r="6" ht="34" customHeight="1">
      <c r="A6" s="34" t="n">
        <v>5</v>
      </c>
      <c r="B6" s="11" t="inlineStr">
        <is>
          <t>Is the rest of the pickup sent to a hub in bags without being opened on site?</t>
        </is>
      </c>
      <c r="C6" s="20" t="n"/>
      <c r="D6" s="21" t="n"/>
    </row>
    <row r="7" ht="34" customHeight="1">
      <c r="A7" s="34" t="n">
        <v>6</v>
      </c>
      <c r="B7" s="11" t="inlineStr">
        <is>
          <t>Do the bag-unloading figures on tab 4 look right? Every number in that row is our guess.</t>
        </is>
      </c>
      <c r="C7" s="20" t="n"/>
      <c r="D7" s="21" t="n"/>
    </row>
    <row r="8" ht="34" customHeight="1">
      <c r="A8" s="34" t="n">
        <v>7</v>
      </c>
      <c r="B8" s="11" t="inlineStr">
        <is>
          <t>Is interstate outbound volume sorted once locally and then despatched, with no second sort in Melbourne?</t>
        </is>
      </c>
      <c r="C8" s="20" t="n"/>
      <c r="D8" s="21" t="n"/>
    </row>
    <row r="9" ht="34" customHeight="1">
      <c r="A9" s="34" t="n">
        <v>8</v>
      </c>
      <c r="B9" s="11" t="inlineStr">
        <is>
          <t>Do vans actually leave full at 180 parcels, or is 160 closer to reality?</t>
        </is>
      </c>
      <c r="C9" s="20" t="n"/>
      <c r="D9" s="21" t="n"/>
    </row>
    <row r="10" ht="34" customHeight="1">
      <c r="A10" s="34" t="n">
        <v>9</v>
      </c>
      <c r="B10" s="11" t="inlineStr">
        <is>
          <t>Does any site run more than one delivery wave a day?</t>
        </is>
      </c>
      <c r="C10" s="20" t="n"/>
      <c r="D10" s="21" t="n"/>
    </row>
    <row r="11" ht="34" customHeight="1">
      <c r="A11" s="34" t="n">
        <v>10</v>
      </c>
      <c r="B11" s="11" t="inlineStr">
        <is>
          <t>Are there any capacity limits we have not asked about — dock doors, bay space, chute count, yard?</t>
        </is>
      </c>
      <c r="C11" s="20" t="n"/>
      <c r="D11" s="21" t="n"/>
    </row>
    <row r="12" ht="34" customHeight="1">
      <c r="A12" s="34" t="n">
        <v>11</v>
      </c>
      <c r="B12" s="11" t="inlineStr">
        <is>
          <t>Is there anything that changes materially between a normal weekday and peak?</t>
        </is>
      </c>
      <c r="C12" s="20" t="n"/>
      <c r="D12" s="21" t="n"/>
    </row>
  </sheetData>
  <dataValidations count="1">
    <dataValidation sqref="C2 C3 C4 C5 C6 C7 C8 C9 C10 C11 C12" showDropDown="0" showInputMessage="0" showErrorMessage="0" allowBlank="1" type="list">
      <formula1>"Yes,No,Partly,Do not know"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2026-07-28T04:05:33Z</dcterms:created>
  <dcterms:modified xmlns:dcterms="http://purl.org/dc/terms/" xmlns:xsi="http://www.w3.org/2001/XMLSchema-instance" xsi:type="dcterms:W3CDTF">2026-07-28T04:05:33Z</dcterms:modified>
</cp:coreProperties>
</file>