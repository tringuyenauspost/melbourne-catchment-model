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1. Constants" sheetId="2" state="visible" r:id="rId2"/>
    <sheet xmlns:r="http://schemas.openxmlformats.org/officeDocument/2006/relationships" name="2. Lanes NEW" sheetId="3" state="visible" r:id="rId3"/>
    <sheet xmlns:r="http://schemas.openxmlformats.org/officeDocument/2006/relationships" name="3. Lanes OLD" sheetId="4" state="visible" r:id="rId4"/>
    <sheet xmlns:r="http://schemas.openxmlformats.org/officeDocument/2006/relationships" name="4. Where the factor comes from" sheetId="5" state="visible" r:id="rId5"/>
    <sheet xmlns:r="http://schemas.openxmlformats.org/officeDocument/2006/relationships" name="5. Products" sheetId="6" state="visible" r:id="rId6"/>
    <sheet xmlns:r="http://schemas.openxmlformats.org/officeDocument/2006/relationships" name="6. Demand rows" sheetId="7" state="visible" r:id="rId7"/>
    <sheet xmlns:r="http://schemas.openxmlformats.org/officeDocument/2006/relationships" name="7. Scaling +1 origin" sheetId="8" state="visible" r:id="rId8"/>
    <sheet xmlns:r="http://schemas.openxmlformats.org/officeDocument/2006/relationships" name="8. Volume balance" sheetId="9" state="visible" r:id="rId9"/>
    <sheet xmlns:r="http://schemas.openxmlformats.org/officeDocument/2006/relationships" name="9. Site pins vs free" sheetId="10" state="visible" r:id="rId10"/>
    <sheet xmlns:r="http://schemas.openxmlformats.org/officeDocument/2006/relationships" name="10. Hub docks" sheetId="11" state="visible" r:id="rId11"/>
    <sheet xmlns:r="http://schemas.openxmlformats.org/officeDocument/2006/relationships" name="11. Resolution trade-off" sheetId="12" state="visible" r:id="rId12"/>
    <sheet xmlns:r="http://schemas.openxmlformats.org/officeDocument/2006/relationships" name="12. OD sourcing A vs B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1F3864"/>
      <sz val="13"/>
    </font>
    <font>
      <i val="1"/>
      <color rgb="00595959"/>
      <sz val="9"/>
    </font>
    <font>
      <b val="1"/>
      <sz val="10"/>
    </font>
    <font>
      <b val="1"/>
      <color rgb="00FFFFFF"/>
      <sz val="10"/>
    </font>
    <font>
      <name val="Consolas"/>
      <sz val="10"/>
    </font>
    <font>
      <color rgb="00375623"/>
      <sz val="10"/>
    </font>
    <font>
      <color rgb="00C00000"/>
      <sz val="10"/>
    </font>
  </fonts>
  <fills count="8">
    <fill>
      <patternFill/>
    </fill>
    <fill>
      <patternFill patternType="gray125"/>
    </fill>
    <fill>
      <patternFill patternType="solid">
        <fgColor rgb="00D9D9D9"/>
      </patternFill>
    </fill>
    <fill>
      <patternFill patternType="solid">
        <fgColor rgb="001F3864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F2F2F2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2" borderId="1" pivotButton="0" quotePrefix="0" xfId="0"/>
    <xf numFmtId="0" fontId="0" fillId="0" borderId="4" pivotButton="0" quotePrefix="0" xfId="0"/>
    <xf numFmtId="0" fontId="0" fillId="0" borderId="5" pivotButton="0" quotePrefix="0" xfId="0"/>
    <xf numFmtId="0" fontId="4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/>
    </xf>
    <xf numFmtId="0" fontId="0" fillId="0" borderId="1" applyAlignment="1" pivotButton="0" quotePrefix="0" xfId="0">
      <alignment vertical="top" wrapText="1"/>
    </xf>
    <xf numFmtId="3" fontId="0" fillId="0" borderId="1" applyAlignment="1" pivotButton="0" quotePrefix="0" xfId="0">
      <alignment horizontal="right" vertical="top"/>
    </xf>
    <xf numFmtId="0" fontId="0" fillId="4" borderId="1" applyAlignment="1" pivotButton="0" quotePrefix="0" xfId="0">
      <alignment vertical="top"/>
    </xf>
    <xf numFmtId="3" fontId="0" fillId="4" borderId="1" applyAlignment="1" pivotButton="0" quotePrefix="0" xfId="0">
      <alignment horizontal="right" vertical="top"/>
    </xf>
    <xf numFmtId="0" fontId="0" fillId="5" borderId="1" applyAlignment="1" pivotButton="0" quotePrefix="0" xfId="0">
      <alignment vertical="top" wrapText="1"/>
    </xf>
    <xf numFmtId="0" fontId="0" fillId="5" borderId="1" pivotButton="0" quotePrefix="0" xfId="0"/>
    <xf numFmtId="0" fontId="5" fillId="0" borderId="1" applyAlignment="1" pivotButton="0" quotePrefix="0" xfId="0">
      <alignment vertical="top"/>
    </xf>
    <xf numFmtId="0" fontId="6" fillId="0" borderId="1" applyAlignment="1" pivotButton="0" quotePrefix="0" xfId="0">
      <alignment vertical="top"/>
    </xf>
    <xf numFmtId="0" fontId="5" fillId="4" borderId="1" applyAlignment="1" pivotButton="0" quotePrefix="0" xfId="0">
      <alignment vertical="top"/>
    </xf>
    <xf numFmtId="0" fontId="6" fillId="4" borderId="1" applyAlignment="1" pivotButton="0" quotePrefix="0" xfId="0">
      <alignment vertical="top"/>
    </xf>
    <xf numFmtId="0" fontId="0" fillId="4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/>
    </xf>
    <xf numFmtId="3" fontId="3" fillId="0" borderId="1" applyAlignment="1" pivotButton="0" quotePrefix="0" xfId="0">
      <alignment horizontal="right" vertical="top"/>
    </xf>
    <xf numFmtId="0" fontId="0" fillId="6" borderId="1" applyAlignment="1" pivotButton="0" quotePrefix="0" xfId="0">
      <alignment vertical="top"/>
    </xf>
    <xf numFmtId="0" fontId="5" fillId="6" borderId="1" applyAlignment="1" pivotButton="0" quotePrefix="0" xfId="0">
      <alignment vertical="top"/>
    </xf>
    <xf numFmtId="3" fontId="0" fillId="6" borderId="1" applyAlignment="1" pivotButton="0" quotePrefix="0" xfId="0">
      <alignment horizontal="right" vertical="top"/>
    </xf>
    <xf numFmtId="0" fontId="6" fillId="6" borderId="1" applyAlignment="1" pivotButton="0" quotePrefix="0" xfId="0">
      <alignment vertical="top"/>
    </xf>
    <xf numFmtId="0" fontId="0" fillId="6" borderId="1" applyAlignment="1" pivotButton="0" quotePrefix="0" xfId="0">
      <alignment vertical="top" wrapText="1"/>
    </xf>
    <xf numFmtId="3" fontId="6" fillId="0" borderId="1" applyAlignment="1" pivotButton="0" quotePrefix="0" xfId="0">
      <alignment horizontal="right" vertical="top"/>
    </xf>
    <xf numFmtId="3" fontId="6" fillId="4" borderId="1" applyAlignment="1" pivotButton="0" quotePrefix="0" xfId="0">
      <alignment horizontal="right" vertical="top"/>
    </xf>
    <xf numFmtId="0" fontId="7" fillId="0" borderId="1" applyAlignment="1" pivotButton="0" quotePrefix="0" xfId="0">
      <alignment vertical="top"/>
    </xf>
    <xf numFmtId="0" fontId="0" fillId="7" borderId="1" applyAlignment="1" pivotButton="0" quotePrefix="0" xfId="0">
      <alignment vertical="top"/>
    </xf>
    <xf numFmtId="0" fontId="0" fillId="7" borderId="1" applyAlignment="1" pivotButton="0" quotePrefix="0" xfId="0">
      <alignment vertical="top" wrapText="1"/>
    </xf>
    <xf numFmtId="0" fontId="0" fillId="7" borderId="1" pivotButton="0" quotePrefix="0" xfId="0"/>
    <xf numFmtId="0" fontId="3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6" customWidth="1" min="1" max="1"/>
    <col width="20" customWidth="1" min="2" max="2"/>
    <col width="20" customWidth="1" min="3" max="3"/>
    <col width="62" customWidth="1" min="4" max="4"/>
  </cols>
  <sheetData>
    <row r="1">
      <c r="A1" s="1" t="inlineStr">
        <is>
          <t>Melbourne model — source/sink resolution and sizing</t>
        </is>
      </c>
    </row>
    <row r="2" ht="28" customHeight="1">
      <c r="A2" s="2" t="inlineStr">
        <is>
          <t>Every number here is read from the generated CSVs in outputs/, or derived from them by the equation shown. Re-run build_sizing_workbook.py after a model change to refresh.</t>
        </is>
      </c>
    </row>
    <row r="4">
      <c r="A4" s="3" t="inlineStr">
        <is>
          <t>The two models being compared</t>
        </is>
      </c>
      <c r="B4" s="4" t="n"/>
      <c r="C4" s="4" t="n"/>
      <c r="D4" s="5" t="n"/>
    </row>
    <row r="5" ht="30" customHeight="1">
      <c r="A5" s="6" t="inlineStr"/>
      <c r="B5" s="6" t="inlineStr">
        <is>
          <t>NEW baseline (LOC / INT)</t>
        </is>
      </c>
      <c r="C5" s="6" t="inlineStr">
        <is>
          <t>OLD baseline (OD origin-mix)</t>
        </is>
      </c>
      <c r="D5" s="6" t="inlineStr">
        <is>
          <t>Why it differs</t>
        </is>
      </c>
    </row>
    <row r="6">
      <c r="A6" s="7" t="inlineStr">
        <is>
          <t>notebook</t>
        </is>
      </c>
      <c r="B6" s="7" t="inlineStr">
        <is>
          <t>melbourne-single-stream-source-sink</t>
        </is>
      </c>
      <c r="C6" s="7" t="inlineStr">
        <is>
          <t>melbourne-optilogic-proposed-architecture</t>
        </is>
      </c>
      <c r="D6" s="8" t="inlineStr"/>
    </row>
    <row r="7">
      <c r="A7" s="7" t="inlineStr">
        <is>
          <t>output folder</t>
        </is>
      </c>
      <c r="B7" s="7" t="inlineStr">
        <is>
          <t>melbourne_catchment_source_sink</t>
        </is>
      </c>
      <c r="C7" s="7" t="inlineStr">
        <is>
          <t>melbourne_optilogic_proposed</t>
        </is>
      </c>
      <c r="D7" s="8" t="inlineStr"/>
    </row>
    <row r="8">
      <c r="A8" s="7" t="inlineStr">
        <is>
          <t>origin resolution</t>
        </is>
      </c>
      <c r="B8" s="7" t="inlineStr">
        <is>
          <t>2-way: LOC / INT</t>
        </is>
      </c>
      <c r="C8" s="7" t="inlineStr">
        <is>
          <t>8-way: 7 clusters + INTERSTATE</t>
        </is>
      </c>
      <c r="D8" s="8" t="inlineStr">
        <is>
          <t>How finely a product remembers where it entered the network. This one choice drives everything below.</t>
        </is>
      </c>
    </row>
    <row r="9">
      <c r="A9" s="7" t="inlineStr">
        <is>
          <t>hubs</t>
        </is>
      </c>
      <c r="B9" s="9" t="n">
        <v>3</v>
      </c>
      <c r="C9" s="9" t="n">
        <v>4</v>
      </c>
      <c r="D9" s="8" t="inlineStr">
        <is>
          <t>DLC is a sorting PDC in the new model, a hub in the old one.</t>
        </is>
      </c>
    </row>
    <row r="10">
      <c r="A10" s="7" t="inlineStr">
        <is>
          <t>numbers we must invent</t>
        </is>
      </c>
      <c r="B10" s="9" t="n">
        <v>0</v>
      </c>
      <c r="C10" s="9" t="n">
        <v>88</v>
      </c>
      <c r="D10" s="8" t="inlineStr">
        <is>
          <t>The OD model needs a per-PDC x per-origin mix matrix. We have no origin-destination data, so every cell is a gravity-model guess.</t>
        </is>
      </c>
    </row>
    <row r="12">
      <c r="A12" s="3" t="inlineStr">
        <is>
          <t>Size, as generated</t>
        </is>
      </c>
      <c r="B12" s="4" t="n"/>
      <c r="C12" s="4" t="n"/>
      <c r="D12" s="5" t="n"/>
    </row>
    <row r="13" ht="30" customHeight="1">
      <c r="A13" s="6" t="inlineStr">
        <is>
          <t>Table</t>
        </is>
      </c>
      <c r="B13" s="6" t="inlineStr">
        <is>
          <t>NEW</t>
        </is>
      </c>
      <c r="C13" s="6" t="inlineStr">
        <is>
          <t>OLD</t>
        </is>
      </c>
      <c r="D13" s="6" t="inlineStr">
        <is>
          <t>Factor</t>
        </is>
      </c>
    </row>
    <row r="14">
      <c r="A14" s="7" t="inlineStr">
        <is>
          <t>Products</t>
        </is>
      </c>
      <c r="B14" s="9" t="n">
        <v>30</v>
      </c>
      <c r="C14" s="9" t="n">
        <v>204</v>
      </c>
      <c r="D14" s="7" t="n">
        <v>6.8</v>
      </c>
    </row>
    <row r="15">
      <c r="A15" s="7" t="inlineStr">
        <is>
          <t>BillOfMaterials</t>
        </is>
      </c>
      <c r="B15" s="9" t="n">
        <v>25</v>
      </c>
      <c r="C15" s="9" t="n">
        <v>218</v>
      </c>
      <c r="D15" s="7" t="n">
        <v>8.699999999999999</v>
      </c>
    </row>
    <row r="16">
      <c r="A16" s="7" t="inlineStr">
        <is>
          <t>ProductionPolicies</t>
        </is>
      </c>
      <c r="B16" s="9" t="n">
        <v>145</v>
      </c>
      <c r="C16" s="9" t="n">
        <v>1652</v>
      </c>
      <c r="D16" s="7" t="n">
        <v>11.4</v>
      </c>
    </row>
    <row r="17">
      <c r="A17" s="7" t="inlineStr">
        <is>
          <t>CustomerDemand</t>
        </is>
      </c>
      <c r="B17" s="9" t="n">
        <v>2097</v>
      </c>
      <c r="C17" s="9" t="n">
        <v>12433</v>
      </c>
      <c r="D17" s="7" t="n">
        <v>5.9</v>
      </c>
    </row>
    <row r="18">
      <c r="A18" s="10" t="inlineStr">
        <is>
          <t>TransportationPolicies</t>
        </is>
      </c>
      <c r="B18" s="11" t="n">
        <v>3286</v>
      </c>
      <c r="C18" s="11" t="n">
        <v>20490</v>
      </c>
      <c r="D18" s="10" t="n">
        <v>6.2</v>
      </c>
    </row>
    <row r="20">
      <c r="A20" s="3" t="inlineStr">
        <is>
          <t>The one-line answer</t>
        </is>
      </c>
      <c r="B20" s="4" t="n"/>
      <c r="C20" s="4" t="n"/>
      <c r="D20" s="5" t="n"/>
    </row>
    <row r="21" ht="30" customHeight="1">
      <c r="A21" s="12" t="inlineStr">
        <is>
          <t>The origin tag multiplies every leg DOWNSTREAM of the hub, and nothing upstream.</t>
        </is>
      </c>
      <c r="B21" s="13" t="n"/>
      <c r="C21" s="13" t="n"/>
      <c r="D21" s="13" t="n"/>
    </row>
    <row r="22" ht="30" customHeight="1">
      <c r="A22" s="12" t="inlineStr">
        <is>
          <t>The largest downstream set is the 1,046 delivery zones, so the tag lands on the widest part of the network — that alone produces the whole size difference.</t>
        </is>
      </c>
      <c r="B22" s="13" t="n"/>
      <c r="C22" s="13" t="n"/>
      <c r="D22" s="13" t="n"/>
    </row>
    <row r="23" ht="30" customHeight="1">
      <c r="A23" s="12" t="inlineStr">
        <is>
          <t>The new model buys the source-to-sink guarantee with 2 product flavours and 0 invented numbers. The OD model buys full traceability with 88 invented numbers and ~6x the rows.</t>
        </is>
      </c>
      <c r="B23" s="13" t="n"/>
      <c r="C23" s="13" t="n"/>
      <c r="D23" s="13" t="n"/>
    </row>
  </sheetData>
  <mergeCells count="8">
    <mergeCell ref="A1:D1"/>
    <mergeCell ref="A23:D23"/>
    <mergeCell ref="A22:D22"/>
    <mergeCell ref="A12:D12"/>
    <mergeCell ref="A4:D4"/>
    <mergeCell ref="A20:D20"/>
    <mergeCell ref="A21:D21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40" customWidth="1" min="2" max="2"/>
    <col width="14" customWidth="1" min="3" max="3"/>
    <col width="14" customWidth="1" min="4" max="4"/>
    <col width="56" customWidth="1" min="5" max="5"/>
  </cols>
  <sheetData>
    <row r="1">
      <c r="A1" s="1" t="inlineStr">
        <is>
          <t>Structural constants — the sets every count multiplies</t>
        </is>
      </c>
    </row>
    <row r="2" ht="28" customHeight="1">
      <c r="A2" s="2" t="inlineStr">
        <is>
          <t>Counted directly from the generated files, not assumed.</t>
        </is>
      </c>
    </row>
    <row r="3" ht="30" customHeight="1">
      <c r="A3" s="6" t="inlineStr">
        <is>
          <t>Symbol</t>
        </is>
      </c>
      <c r="B3" s="6" t="inlineStr">
        <is>
          <t>Meaning</t>
        </is>
      </c>
      <c r="C3" s="6" t="inlineStr">
        <is>
          <t>NEW</t>
        </is>
      </c>
      <c r="D3" s="6" t="inlineStr">
        <is>
          <t>OLD</t>
        </is>
      </c>
      <c r="E3" s="6" t="inlineStr">
        <is>
          <t>Where it comes from</t>
        </is>
      </c>
    </row>
    <row r="4">
      <c r="A4" s="7" t="inlineStr">
        <is>
          <t>K</t>
        </is>
      </c>
      <c r="B4" s="7" t="inlineStr">
        <is>
          <t>catchments (postcodes)</t>
        </is>
      </c>
      <c r="C4" s="9" t="n">
        <v>411</v>
      </c>
      <c r="D4" s="9" t="n">
        <v>411</v>
      </c>
      <c r="E4" s="8" t="inlineStr">
        <is>
          <t>Suppliers.csv — SUP_Pickup_* rows</t>
        </is>
      </c>
    </row>
    <row r="5">
      <c r="A5" s="7" t="inlineStr">
        <is>
          <t>Z</t>
        </is>
      </c>
      <c r="B5" s="7" t="inlineStr">
        <is>
          <t>delivery zones (clusters)</t>
        </is>
      </c>
      <c r="C5" s="9" t="n">
        <v>1046</v>
      </c>
      <c r="D5" s="9" t="n">
        <v>1046</v>
      </c>
      <c r="E5" s="8" t="inlineStr">
        <is>
          <t>Customers.csv — rows that are not CZ_* sinks</t>
        </is>
      </c>
    </row>
    <row r="6">
      <c r="A6" s="7" t="inlineStr">
        <is>
          <t>C</t>
        </is>
      </c>
      <c r="B6" s="7" t="inlineStr">
        <is>
          <t>product classes (EP, PP)</t>
        </is>
      </c>
      <c r="C6" s="9" t="n">
        <v>2</v>
      </c>
      <c r="D6" s="9" t="n">
        <v>2</v>
      </c>
      <c r="E6" s="8" t="inlineStr">
        <is>
          <t>fixed by the data model</t>
        </is>
      </c>
    </row>
    <row r="7">
      <c r="A7" s="7" t="inlineStr">
        <is>
          <t>M</t>
        </is>
      </c>
      <c r="B7" s="7" t="inlineStr">
        <is>
          <t>linehaul modes</t>
        </is>
      </c>
      <c r="C7" s="9" t="n">
        <v>3</v>
      </c>
      <c r="D7" s="9" t="n">
        <v>3</v>
      </c>
      <c r="E7" s="8" t="inlineStr">
        <is>
          <t>B_Double / Twelve_Tonner / Rigid_Truck</t>
        </is>
      </c>
    </row>
    <row r="8">
      <c r="A8" s="7" t="inlineStr">
        <is>
          <t>F</t>
        </is>
      </c>
      <c r="B8" s="7" t="inlineStr">
        <is>
          <t>first-mile PDCs</t>
        </is>
      </c>
      <c r="C8" s="9" t="n">
        <v>7</v>
      </c>
      <c r="D8" s="9" t="n">
        <v>7</v>
      </c>
      <c r="E8" s="8" t="inlineStr">
        <is>
          <t>FIRST_MILE_FACILITY in the notebook</t>
        </is>
      </c>
    </row>
    <row r="9">
      <c r="A9" s="7" t="inlineStr">
        <is>
          <t>Dp</t>
        </is>
      </c>
      <c r="B9" s="7" t="inlineStr">
        <is>
          <t>delivering PDCs</t>
        </is>
      </c>
      <c r="C9" s="9" t="n">
        <v>11</v>
      </c>
      <c r="D9" s="9" t="n">
        <v>11</v>
      </c>
      <c r="E9" s="8" t="inlineStr">
        <is>
          <t>DELIVERY_PUD_SET</t>
        </is>
      </c>
    </row>
    <row r="10">
      <c r="A10" s="7" t="inlineStr">
        <is>
          <t>H</t>
        </is>
      </c>
      <c r="B10" s="7" t="inlineStr">
        <is>
          <t>hubs</t>
        </is>
      </c>
      <c r="C10" s="9" t="n">
        <v>3</v>
      </c>
      <c r="D10" s="9" t="n">
        <v>4</v>
      </c>
      <c r="E10" s="8" t="inlineStr">
        <is>
          <t>Suppliers.csv — SUP_HUB_* rows. DLC is a PDC in the new model.</t>
        </is>
      </c>
    </row>
    <row r="11">
      <c r="A11" s="7" t="inlineStr">
        <is>
          <t>R2</t>
        </is>
      </c>
      <c r="B11" s="7" t="inlineStr">
        <is>
          <t>off-hub round-2 sort PDCs</t>
        </is>
      </c>
      <c r="C11" s="9" t="n">
        <v>1</v>
      </c>
      <c r="D11" s="9" t="n">
        <v>0</v>
      </c>
      <c r="E11" s="8" t="inlineStr">
        <is>
          <t>DLC, the hub-overflow divert site</t>
        </is>
      </c>
    </row>
    <row r="12">
      <c r="A12" s="7" t="inlineStr">
        <is>
          <t>T</t>
        </is>
      </c>
      <c r="B12" s="7" t="inlineStr">
        <is>
          <t>origin tags carried by a product</t>
        </is>
      </c>
      <c r="C12" s="9" t="n">
        <v>2</v>
      </c>
      <c r="D12" s="9" t="n">
        <v>8</v>
      </c>
      <c r="E12" s="8" t="inlineStr">
        <is>
          <t>NEW: LOC / INT. OLD: 7 origin clusters + INTERSTATE.</t>
        </is>
      </c>
    </row>
    <row r="13">
      <c r="A13" s="7" t="inlineStr">
        <is>
          <t>Tc</t>
        </is>
      </c>
      <c r="B13" s="7" t="inlineStr">
        <is>
          <t>origin tags with round-0 states</t>
        </is>
      </c>
      <c r="C13" s="9" t="n">
        <v>1</v>
      </c>
      <c r="D13" s="9" t="n">
        <v>7</v>
      </c>
      <c r="E13" s="8" t="inlineStr">
        <is>
          <t>interstate volume never sees a PDC bag dock</t>
        </is>
      </c>
    </row>
    <row r="15">
      <c r="A15" s="3" t="inlineStr">
        <is>
          <t>The counting rule</t>
        </is>
      </c>
      <c r="B15" s="4" t="n"/>
      <c r="C15" s="4" t="n"/>
      <c r="D15" s="4" t="n"/>
      <c r="E15" s="5" t="n"/>
    </row>
    <row r="16" ht="44" customHeight="1">
      <c r="A16" s="12" t="inlineStr">
        <is>
          <t>A lane exists for every combination of (origin, destination, product, mode) that the build loop emits. So each leg's row count is a PRODUCT of the set sizes that leg iterates over. That is the whole derivation — the sheets that follow just apply it.</t>
        </is>
      </c>
      <c r="B16" s="13" t="n"/>
      <c r="C16" s="13" t="n"/>
      <c r="D16" s="13" t="n"/>
      <c r="E16" s="13" t="n"/>
    </row>
  </sheetData>
  <mergeCells count="4">
    <mergeCell ref="A2:E2"/>
    <mergeCell ref="A15:E15"/>
    <mergeCell ref="A1:E1"/>
    <mergeCell ref="A16:E1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5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2" customWidth="1" min="1" max="1"/>
    <col width="30" customWidth="1" min="2" max="2"/>
    <col width="12" customWidth="1" min="3" max="3"/>
    <col width="12" customWidth="1" min="4" max="4"/>
    <col width="10" customWidth="1" min="5" max="5"/>
    <col width="44" customWidth="1" min="6" max="6"/>
  </cols>
  <sheetData>
    <row r="1">
      <c r="A1" s="1" t="inlineStr">
        <is>
          <t>Lane count — Lanes NEW</t>
        </is>
      </c>
    </row>
    <row r="2" ht="28" customHeight="1">
      <c r="A2" s="2" t="inlineStr">
        <is>
          <t>h(c) = hubs sorting class c: h(PP)=2, h(EP)=1 (CLASS_HUB_SPLIT). Several legs carry 'x 1' rather than 'x C' because each hub sorts exactly ONE class — the class split shrinks these legs. HUB-&gt;HUB would be 36 without it.</t>
        </is>
      </c>
    </row>
    <row r="3" ht="30" customHeight="1">
      <c r="A3" s="6" t="inlineStr">
        <is>
          <t>Leg</t>
        </is>
      </c>
      <c r="B3" s="6" t="inlineStr">
        <is>
          <t>Equation</t>
        </is>
      </c>
      <c r="C3" s="6" t="inlineStr">
        <is>
          <t>Formula</t>
        </is>
      </c>
      <c r="D3" s="6" t="inlineStr">
        <is>
          <t>Actual</t>
        </is>
      </c>
      <c r="E3" s="6" t="inlineStr">
        <is>
          <t>Match</t>
        </is>
      </c>
      <c r="F3" s="6" t="inlineStr">
        <is>
          <t>Note in TransportationPolicies.csv</t>
        </is>
      </c>
    </row>
    <row r="4">
      <c r="A4" s="7" t="inlineStr">
        <is>
          <t>pickup catchment-&gt;PDC</t>
        </is>
      </c>
      <c r="B4" s="14" t="inlineStr">
        <is>
          <t>K x C</t>
        </is>
      </c>
      <c r="C4" s="9" t="n">
        <v>822</v>
      </c>
      <c r="D4" s="9" t="n">
        <v>822</v>
      </c>
      <c r="E4" s="15" t="inlineStr">
        <is>
          <t>OK</t>
        </is>
      </c>
      <c r="F4" s="8" t="inlineStr">
        <is>
          <t>pickup: supplier-&gt;PDC</t>
        </is>
      </c>
    </row>
    <row r="5">
      <c r="A5" s="7" t="inlineStr">
        <is>
          <t>PDC-&gt;HUB (Pickup_LOC)</t>
        </is>
      </c>
      <c r="B5" s="14" t="inlineStr">
        <is>
          <t>F x sum_c h(c) x M</t>
        </is>
      </c>
      <c r="C5" s="9" t="n">
        <v>63</v>
      </c>
      <c r="D5" s="9" t="n">
        <v>63</v>
      </c>
      <c r="E5" s="15" t="inlineStr">
        <is>
          <t>OK</t>
        </is>
      </c>
      <c r="F5" s="8" t="inlineStr">
        <is>
          <t>(2 class streams)</t>
        </is>
      </c>
    </row>
    <row r="6">
      <c r="A6" s="7" t="inlineStr">
        <is>
          <t>HUB-&gt;HUB (Despatch1_INT)</t>
        </is>
      </c>
      <c r="B6" s="14" t="inlineStr">
        <is>
          <t>H x (H-1) x 1 x M</t>
        </is>
      </c>
      <c r="C6" s="9" t="n">
        <v>18</v>
      </c>
      <c r="D6" s="9" t="n">
        <v>18</v>
      </c>
      <c r="E6" s="15" t="inlineStr">
        <is>
          <t>OK</t>
        </is>
      </c>
      <c r="F6" s="8" t="inlineStr">
        <is>
          <t>linehaul: HUB-&gt;HUB (Despatch1_INT, 2nd sort)</t>
        </is>
      </c>
    </row>
    <row r="7">
      <c r="A7" s="7" t="inlineStr">
        <is>
          <t>HUB-&gt;DLC (Despatch1_INT)</t>
        </is>
      </c>
      <c r="B7" s="14" t="inlineStr">
        <is>
          <t>H x R2 x 1 x M</t>
        </is>
      </c>
      <c r="C7" s="9" t="n">
        <v>9</v>
      </c>
      <c r="D7" s="9" t="n">
        <v>9</v>
      </c>
      <c r="E7" s="15" t="inlineStr">
        <is>
          <t>OK</t>
        </is>
      </c>
      <c r="F7" s="8" t="inlineStr">
        <is>
          <t>linehaul: HUB-&gt;PDC (Despatch1_INT, off-hub 2nd sort)</t>
        </is>
      </c>
    </row>
    <row r="8">
      <c r="A8" s="7" t="inlineStr">
        <is>
          <t>interstate handover HUB-&gt;sink</t>
        </is>
      </c>
      <c r="B8" s="14" t="inlineStr">
        <is>
          <t>H x 1</t>
        </is>
      </c>
      <c r="C8" s="9" t="n">
        <v>3</v>
      </c>
      <c r="D8" s="9" t="n">
        <v>3</v>
      </c>
      <c r="E8" s="15" t="inlineStr">
        <is>
          <t>OK</t>
        </is>
      </c>
      <c r="F8" s="8" t="inlineStr">
        <is>
          <t>interstate handover: HUB-&gt;sink</t>
        </is>
      </c>
    </row>
    <row r="9">
      <c r="A9" s="7" t="inlineStr">
        <is>
          <t>arrivals SUP_HUB-&gt;HUB</t>
        </is>
      </c>
      <c r="B9" s="14" t="inlineStr">
        <is>
          <t>H x 1</t>
        </is>
      </c>
      <c r="C9" s="9" t="n">
        <v>3</v>
      </c>
      <c r="D9" s="9" t="n">
        <v>3</v>
      </c>
      <c r="E9" s="15" t="inlineStr">
        <is>
          <t>OK</t>
        </is>
      </c>
      <c r="F9" s="8" t="inlineStr">
        <is>
          <t>arrivals: SUP_HUB-&gt;HUB</t>
        </is>
      </c>
    </row>
    <row r="10">
      <c r="A10" s="7" t="inlineStr">
        <is>
          <t>local terminate PDC-&gt;sink</t>
        </is>
      </c>
      <c r="B10" s="14" t="inlineStr">
        <is>
          <t>n_r0 x C</t>
        </is>
      </c>
      <c r="C10" s="9" t="n">
        <v>6</v>
      </c>
      <c r="D10" s="9" t="n">
        <v>6</v>
      </c>
      <c r="E10" s="15" t="inlineStr">
        <is>
          <t>OK</t>
        </is>
      </c>
      <c r="F10" s="8" t="inlineStr">
        <is>
          <t>local terminate: PDC-&gt;sink</t>
        </is>
      </c>
    </row>
    <row r="11">
      <c r="A11" s="7" t="inlineStr">
        <is>
          <t>local stage SUP_PUD-&gt;PDC</t>
        </is>
      </c>
      <c r="B11" s="14" t="inlineStr">
        <is>
          <t>n_stage x C</t>
        </is>
      </c>
      <c r="C11" s="9" t="n">
        <v>6</v>
      </c>
      <c r="D11" s="9" t="n">
        <v>6</v>
      </c>
      <c r="E11" s="15" t="inlineStr">
        <is>
          <t>OK</t>
        </is>
      </c>
      <c r="F11" s="8" t="inlineStr">
        <is>
          <t>local stage: SUP_PUD-&gt;PDC</t>
        </is>
      </c>
    </row>
    <row r="12">
      <c r="A12" s="7" t="inlineStr">
        <is>
          <t>HUB-&gt;PDC (Despatch2)</t>
        </is>
      </c>
      <c r="B12" s="14" t="inlineStr">
        <is>
          <t>H x Dp x C x M</t>
        </is>
      </c>
      <c r="C12" s="9" t="n">
        <v>198</v>
      </c>
      <c r="D12" s="9" t="n">
        <v>198</v>
      </c>
      <c r="E12" s="15" t="inlineStr">
        <is>
          <t>OK</t>
        </is>
      </c>
      <c r="F12" s="8" t="inlineStr">
        <is>
          <t>linehaul: HUB-&gt;PDC (Despatch2)</t>
        </is>
      </c>
    </row>
    <row r="13">
      <c r="A13" s="7" t="inlineStr">
        <is>
          <t>DLC-&gt;PDC (Despatch2)</t>
        </is>
      </c>
      <c r="B13" s="14" t="inlineStr">
        <is>
          <t>R2 x Dp x C x M</t>
        </is>
      </c>
      <c r="C13" s="9" t="n">
        <v>66</v>
      </c>
      <c r="D13" s="9" t="n">
        <v>66</v>
      </c>
      <c r="E13" s="15" t="inlineStr">
        <is>
          <t>OK</t>
        </is>
      </c>
      <c r="F13" s="8" t="inlineStr">
        <is>
          <t>linehaul: PDC-&gt;PDC (Despatch2, from off-hub 2nd sort)</t>
        </is>
      </c>
    </row>
    <row r="14">
      <c r="A14" s="10" t="inlineStr">
        <is>
          <t>delivery PDC-&gt;zone</t>
        </is>
      </c>
      <c r="B14" s="16" t="inlineStr">
        <is>
          <t>Z x C</t>
        </is>
      </c>
      <c r="C14" s="11" t="n">
        <v>2092</v>
      </c>
      <c r="D14" s="11" t="n">
        <v>2092</v>
      </c>
      <c r="E14" s="17" t="inlineStr">
        <is>
          <t>OK</t>
        </is>
      </c>
      <c r="F14" s="18" t="inlineStr">
        <is>
          <t>delivery: PDC-&gt;cluster</t>
        </is>
      </c>
    </row>
    <row r="15">
      <c r="A15" s="19" t="inlineStr">
        <is>
          <t>TOTAL</t>
        </is>
      </c>
      <c r="B15" s="19" t="inlineStr">
        <is>
          <t>sum of the above</t>
        </is>
      </c>
      <c r="C15" s="20" t="n">
        <v>3286</v>
      </c>
      <c r="D15" s="20" t="n">
        <v>3286</v>
      </c>
      <c r="E15" s="19" t="inlineStr">
        <is>
          <t>OK</t>
        </is>
      </c>
      <c r="F15" s="19" t="inlineStr"/>
    </row>
  </sheetData>
  <mergeCells count="2">
    <mergeCell ref="A2:F2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3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2" customWidth="1" min="1" max="1"/>
    <col width="30" customWidth="1" min="2" max="2"/>
    <col width="12" customWidth="1" min="3" max="3"/>
    <col width="12" customWidth="1" min="4" max="4"/>
    <col width="10" customWidth="1" min="5" max="5"/>
    <col width="44" customWidth="1" min="6" max="6"/>
  </cols>
  <sheetData>
    <row r="1">
      <c r="A1" s="1" t="inlineStr">
        <is>
          <t>Lane count — Lanes OLD</t>
        </is>
      </c>
    </row>
    <row r="2" ht="28" customHeight="1">
      <c r="A2" s="2" t="inlineStr">
        <is>
          <t>Note where T appears: on every leg DOWNSTREAM of the hub, and nowhere upstream. The pickup leg (K x C) is identical in both models.</t>
        </is>
      </c>
    </row>
    <row r="3" ht="30" customHeight="1">
      <c r="A3" s="6" t="inlineStr">
        <is>
          <t>Leg</t>
        </is>
      </c>
      <c r="B3" s="6" t="inlineStr">
        <is>
          <t>Equation</t>
        </is>
      </c>
      <c r="C3" s="6" t="inlineStr">
        <is>
          <t>Formula</t>
        </is>
      </c>
      <c r="D3" s="6" t="inlineStr">
        <is>
          <t>Actual</t>
        </is>
      </c>
      <c r="E3" s="6" t="inlineStr">
        <is>
          <t>Match</t>
        </is>
      </c>
      <c r="F3" s="6" t="inlineStr">
        <is>
          <t>Note in TransportationPolicies.csv</t>
        </is>
      </c>
    </row>
    <row r="4">
      <c r="A4" s="7" t="inlineStr">
        <is>
          <t>pickup catchment-&gt;PDC</t>
        </is>
      </c>
      <c r="B4" s="14" t="inlineStr">
        <is>
          <t>K x C</t>
        </is>
      </c>
      <c r="C4" s="9" t="n">
        <v>822</v>
      </c>
      <c r="D4" s="9" t="n">
        <v>822</v>
      </c>
      <c r="E4" s="15" t="inlineStr">
        <is>
          <t>OK</t>
        </is>
      </c>
      <c r="F4" s="8" t="inlineStr">
        <is>
          <t>pickup: catchment-&gt;PDC</t>
        </is>
      </c>
    </row>
    <row r="5">
      <c r="A5" s="7" t="inlineStr">
        <is>
          <t>PDC-&gt;hub (raw pickup)</t>
        </is>
      </c>
      <c r="B5" s="14" t="inlineStr">
        <is>
          <t>F x H x C x M</t>
        </is>
      </c>
      <c r="C5" s="9" t="n">
        <v>168</v>
      </c>
      <c r="D5" s="9" t="n">
        <v>168</v>
      </c>
      <c r="E5" s="15" t="inlineStr">
        <is>
          <t>OK</t>
        </is>
      </c>
      <c r="F5" s="8" t="inlineStr">
        <is>
          <t>linehaul: PDC-&gt;hub (raw pickup)</t>
        </is>
      </c>
    </row>
    <row r="6">
      <c r="A6" s="7" t="inlineStr">
        <is>
          <t>hub-&gt;hub (Despatch1)</t>
        </is>
      </c>
      <c r="B6" s="14" t="inlineStr">
        <is>
          <t>H x (H-1) x C x T x M</t>
        </is>
      </c>
      <c r="C6" s="9" t="n">
        <v>576</v>
      </c>
      <c r="D6" s="9" t="n">
        <v>576</v>
      </c>
      <c r="E6" s="15" t="inlineStr">
        <is>
          <t>OK</t>
        </is>
      </c>
      <c r="F6" s="8" t="inlineStr">
        <is>
          <t>linehaul: hub-&gt;hub (Despatch1, 2nd sort)</t>
        </is>
      </c>
    </row>
    <row r="7">
      <c r="A7" s="7" t="inlineStr">
        <is>
          <t>interstate handover hub-&gt;sink</t>
        </is>
      </c>
      <c r="B7" s="14" t="inlineStr">
        <is>
          <t>H x C x Tc</t>
        </is>
      </c>
      <c r="C7" s="9" t="n">
        <v>56</v>
      </c>
      <c r="D7" s="9" t="n">
        <v>56</v>
      </c>
      <c r="E7" s="15" t="inlineStr">
        <is>
          <t>OK</t>
        </is>
      </c>
      <c r="F7" s="8" t="inlineStr">
        <is>
          <t>interstate handover: hub-&gt;sink</t>
        </is>
      </c>
    </row>
    <row r="8">
      <c r="A8" s="7" t="inlineStr">
        <is>
          <t>arrivals supplier-&gt;hub</t>
        </is>
      </c>
      <c r="B8" s="14" t="inlineStr">
        <is>
          <t>H x C</t>
        </is>
      </c>
      <c r="C8" s="9" t="n">
        <v>8</v>
      </c>
      <c r="D8" s="9" t="n">
        <v>8</v>
      </c>
      <c r="E8" s="15" t="inlineStr">
        <is>
          <t>OK</t>
        </is>
      </c>
      <c r="F8" s="8" t="inlineStr">
        <is>
          <t>arrivals: supplier-&gt;hub</t>
        </is>
      </c>
    </row>
    <row r="9">
      <c r="A9" s="7" t="inlineStr">
        <is>
          <t>local terminate PDC-&gt;sink</t>
        </is>
      </c>
      <c r="B9" s="14" t="inlineStr">
        <is>
          <t>n_r0 x C</t>
        </is>
      </c>
      <c r="C9" s="9" t="n">
        <v>6</v>
      </c>
      <c r="D9" s="9" t="n">
        <v>6</v>
      </c>
      <c r="E9" s="15" t="inlineStr">
        <is>
          <t>OK</t>
        </is>
      </c>
      <c r="F9" s="8" t="inlineStr">
        <is>
          <t>local terminate: PDC-&gt;sink</t>
        </is>
      </c>
    </row>
    <row r="10">
      <c r="A10" s="7" t="inlineStr">
        <is>
          <t>local stage supplier-&gt;PDC</t>
        </is>
      </c>
      <c r="B10" s="14" t="inlineStr">
        <is>
          <t>n_stage x C</t>
        </is>
      </c>
      <c r="C10" s="9" t="n">
        <v>6</v>
      </c>
      <c r="D10" s="9" t="n">
        <v>6</v>
      </c>
      <c r="E10" s="15" t="inlineStr">
        <is>
          <t>OK</t>
        </is>
      </c>
      <c r="F10" s="8" t="inlineStr">
        <is>
          <t>local stage: supplier-&gt;PDC</t>
        </is>
      </c>
    </row>
    <row r="11">
      <c r="A11" s="7" t="inlineStr">
        <is>
          <t>hub-&gt;PDC (despatch)</t>
        </is>
      </c>
      <c r="B11" s="14" t="inlineStr">
        <is>
          <t>H x Dp x C x T x M</t>
        </is>
      </c>
      <c r="C11" s="9" t="n">
        <v>2112</v>
      </c>
      <c r="D11" s="9" t="n">
        <v>2112</v>
      </c>
      <c r="E11" s="15" t="inlineStr">
        <is>
          <t>OK</t>
        </is>
      </c>
      <c r="F11" s="8" t="inlineStr">
        <is>
          <t>linehaul: hub-&gt;PDC (despatch)</t>
        </is>
      </c>
    </row>
    <row r="12">
      <c r="A12" s="21" t="inlineStr">
        <is>
          <t>delivery PDC-&gt;zone</t>
        </is>
      </c>
      <c r="B12" s="22" t="inlineStr">
        <is>
          <t>Z x C x T</t>
        </is>
      </c>
      <c r="C12" s="23" t="n">
        <v>16736</v>
      </c>
      <c r="D12" s="23" t="n">
        <v>16736</v>
      </c>
      <c r="E12" s="24" t="inlineStr">
        <is>
          <t>OK</t>
        </is>
      </c>
      <c r="F12" s="25" t="inlineStr">
        <is>
          <t>delivery: PDC-&gt;zone</t>
        </is>
      </c>
    </row>
    <row r="13">
      <c r="A13" s="19" t="inlineStr">
        <is>
          <t>TOTAL</t>
        </is>
      </c>
      <c r="B13" s="19" t="inlineStr">
        <is>
          <t>sum of the above</t>
        </is>
      </c>
      <c r="C13" s="20" t="n">
        <v>20490</v>
      </c>
      <c r="D13" s="20" t="n">
        <v>20490</v>
      </c>
      <c r="E13" s="19" t="inlineStr">
        <is>
          <t>OK</t>
        </is>
      </c>
      <c r="F13" s="19" t="inlineStr"/>
    </row>
  </sheetData>
  <mergeCells count="2">
    <mergeCell ref="A2:F2"/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4" customWidth="1" min="1" max="1"/>
    <col width="30" customWidth="1" min="2" max="2"/>
    <col width="14" customWidth="1" min="3" max="3"/>
    <col width="30" customWidth="1" min="4" max="4"/>
    <col width="14" customWidth="1" min="5" max="5"/>
    <col width="12" customWidth="1" min="6" max="6"/>
  </cols>
  <sheetData>
    <row r="1">
      <c r="A1" s="1" t="inlineStr">
        <is>
          <t>The same legs, side by side</t>
        </is>
      </c>
    </row>
    <row r="2" ht="28" customHeight="1">
      <c r="A2" s="2" t="inlineStr">
        <is>
          <t>The origin tag T multiplies the legs downstream of the hub. The largest downstream set is Z = 1,046 delivery zones.</t>
        </is>
      </c>
    </row>
    <row r="3" ht="30" customHeight="1">
      <c r="A3" s="6" t="inlineStr">
        <is>
          <t>Leg</t>
        </is>
      </c>
      <c r="B3" s="6" t="inlineStr">
        <is>
          <t>NEW equation</t>
        </is>
      </c>
      <c r="C3" s="6" t="inlineStr">
        <is>
          <t>NEW</t>
        </is>
      </c>
      <c r="D3" s="6" t="inlineStr">
        <is>
          <t>OLD equation</t>
        </is>
      </c>
      <c r="E3" s="6" t="inlineStr">
        <is>
          <t>OLD</t>
        </is>
      </c>
      <c r="F3" s="6" t="inlineStr">
        <is>
          <t>Factor</t>
        </is>
      </c>
    </row>
    <row r="4">
      <c r="A4" s="10" t="inlineStr">
        <is>
          <t>delivery PDC-&gt;zone</t>
        </is>
      </c>
      <c r="B4" s="16" t="inlineStr">
        <is>
          <t>Z x C</t>
        </is>
      </c>
      <c r="C4" s="11" t="n">
        <v>2092</v>
      </c>
      <c r="D4" s="16" t="inlineStr">
        <is>
          <t>Z x C x T</t>
        </is>
      </c>
      <c r="E4" s="11" t="n">
        <v>16736</v>
      </c>
      <c r="F4" s="10" t="n">
        <v>8</v>
      </c>
    </row>
    <row r="5">
      <c r="A5" s="7" t="inlineStr">
        <is>
          <t>hub-&gt;PDC linehaul</t>
        </is>
      </c>
      <c r="B5" s="14" t="inlineStr">
        <is>
          <t>H x Dp x C x M</t>
        </is>
      </c>
      <c r="C5" s="9" t="n">
        <v>198</v>
      </c>
      <c r="D5" s="14" t="inlineStr">
        <is>
          <t>H x Dp x C x T x M</t>
        </is>
      </c>
      <c r="E5" s="9" t="n">
        <v>2112</v>
      </c>
      <c r="F5" s="7" t="n">
        <v>10.7</v>
      </c>
    </row>
    <row r="6">
      <c r="A6" s="7" t="inlineStr">
        <is>
          <t>hub-&gt;hub linehaul</t>
        </is>
      </c>
      <c r="B6" s="14" t="inlineStr">
        <is>
          <t>H x (H-1) x 1 x M</t>
        </is>
      </c>
      <c r="C6" s="9" t="n">
        <v>18</v>
      </c>
      <c r="D6" s="14" t="inlineStr">
        <is>
          <t>H x (H-1) x C x T x M</t>
        </is>
      </c>
      <c r="E6" s="9" t="n">
        <v>576</v>
      </c>
      <c r="F6" s="7" t="n">
        <v>32</v>
      </c>
    </row>
    <row r="7">
      <c r="A7" s="7" t="inlineStr">
        <is>
          <t>pickup catchment-&gt;PDC</t>
        </is>
      </c>
      <c r="B7" s="14" t="inlineStr">
        <is>
          <t>K x C</t>
        </is>
      </c>
      <c r="C7" s="9" t="n">
        <v>822</v>
      </c>
      <c r="D7" s="14" t="inlineStr">
        <is>
          <t>K x C</t>
        </is>
      </c>
      <c r="E7" s="9" t="n">
        <v>822</v>
      </c>
      <c r="F7" s="7" t="n">
        <v>1</v>
      </c>
    </row>
    <row r="8">
      <c r="A8" s="19" t="inlineStr">
        <is>
          <t>TOTAL LANES</t>
        </is>
      </c>
      <c r="B8" s="19" t="inlineStr"/>
      <c r="C8" s="20" t="n">
        <v>3286</v>
      </c>
      <c r="D8" s="19" t="inlineStr"/>
      <c r="E8" s="20" t="n">
        <v>20490</v>
      </c>
      <c r="F8" s="19" t="n">
        <v>6.2</v>
      </c>
    </row>
  </sheetData>
  <mergeCells count="2">
    <mergeCell ref="A2:F2"/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5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6" customWidth="1" min="1" max="1"/>
    <col width="34" customWidth="1" min="2" max="2"/>
    <col width="12" customWidth="1" min="3" max="3"/>
    <col width="12" customWidth="1" min="4" max="4"/>
    <col width="40" customWidth="1" min="5" max="5"/>
  </cols>
  <sheetData>
    <row r="1">
      <c r="A1" s="1" t="inlineStr">
        <is>
          <t>Product count</t>
        </is>
      </c>
    </row>
    <row r="2" ht="28" customHeight="1">
      <c r="A2" s="2" t="inlineStr">
        <is>
          <t>Same counting rule, applied to the product table.</t>
        </is>
      </c>
    </row>
    <row r="3" ht="30" customHeight="1">
      <c r="A3" s="6" t="inlineStr">
        <is>
          <t>Group</t>
        </is>
      </c>
      <c r="B3" s="6" t="inlineStr">
        <is>
          <t>Equation</t>
        </is>
      </c>
      <c r="C3" s="6" t="inlineStr">
        <is>
          <t>Count</t>
        </is>
      </c>
      <c r="D3" s="6" t="inlineStr"/>
      <c r="E3" s="6" t="inlineStr">
        <is>
          <t>What it is</t>
        </is>
      </c>
    </row>
    <row r="4">
      <c r="A4" s="3" t="inlineStr">
        <is>
          <t>NEW baseline — actual 30</t>
        </is>
      </c>
      <c r="B4" s="4" t="n"/>
      <c r="C4" s="4" t="n"/>
      <c r="D4" s="4" t="n"/>
      <c r="E4" s="5" t="n"/>
    </row>
    <row r="5">
      <c r="A5" s="8" t="inlineStr">
        <is>
          <t>plain states (Unload0, Sort0, Unload2, Sort2, Despatch2, Delivered)</t>
        </is>
      </c>
      <c r="B5" s="14" t="inlineStr">
        <is>
          <t>6 x C</t>
        </is>
      </c>
      <c r="C5" s="9" t="n">
        <v>12</v>
      </c>
      <c r="D5" s="7" t="inlineStr"/>
      <c r="E5" s="8" t="inlineStr">
        <is>
          <t>no flavour, no hub code — the origin flavour has already collapsed</t>
        </is>
      </c>
    </row>
    <row r="6">
      <c r="A6" s="8" t="inlineStr">
        <is>
          <t>flavoured round-1 chain (Pickup, Unload1, Sort1)</t>
        </is>
      </c>
      <c r="B6" s="14" t="inlineStr">
        <is>
          <t>3 x flavours x C</t>
        </is>
      </c>
      <c r="C6" s="9" t="n">
        <v>12</v>
      </c>
      <c r="D6" s="7" t="inlineStr"/>
      <c r="E6" s="8" t="inlineStr">
        <is>
          <t>LOC and INT ride separate chains through round 1</t>
        </is>
      </c>
    </row>
    <row r="7">
      <c r="A7" s="8" t="inlineStr">
        <is>
          <t>Despatch1_&lt;hub&gt;_&lt;flavour&gt;_&lt;class&gt;</t>
        </is>
      </c>
      <c r="B7" s="14" t="inlineStr">
        <is>
          <t>H x flavours x classes-at-hub</t>
        </is>
      </c>
      <c r="C7" s="9" t="n">
        <v>6</v>
      </c>
      <c r="D7" s="7" t="inlineStr"/>
      <c r="E7" s="8" t="inlineStr">
        <is>
          <t>each hub sorts exactly one class, so this is x1 not x2</t>
        </is>
      </c>
    </row>
    <row r="8">
      <c r="A8" s="19" t="inlineStr">
        <is>
          <t>TOTAL</t>
        </is>
      </c>
      <c r="B8" s="19" t="inlineStr"/>
      <c r="C8" s="20" t="n">
        <v>30</v>
      </c>
      <c r="D8" s="20" t="n">
        <v>30</v>
      </c>
      <c r="E8" s="19" t="inlineStr">
        <is>
          <t>formula = actual</t>
        </is>
      </c>
    </row>
    <row r="10">
      <c r="A10" s="3" t="inlineStr">
        <is>
          <t>OLD baseline — actual 204</t>
        </is>
      </c>
      <c r="B10" s="4" t="n"/>
      <c r="C10" s="4" t="n"/>
      <c r="D10" s="4" t="n"/>
      <c r="E10" s="5" t="n"/>
    </row>
    <row r="11">
      <c r="A11" s="8" t="inlineStr">
        <is>
          <t>Pickup</t>
        </is>
      </c>
      <c r="B11" s="14" t="inlineStr">
        <is>
          <t>C x T</t>
        </is>
      </c>
      <c r="C11" s="9" t="n">
        <v>16</v>
      </c>
      <c r="D11" s="7" t="inlineStr"/>
      <c r="E11" s="8" t="inlineStr">
        <is>
          <t>every origin tag has its own pickup product</t>
        </is>
      </c>
    </row>
    <row r="12">
      <c r="A12" s="8" t="inlineStr">
        <is>
          <t>Unload0, Sort0</t>
        </is>
      </c>
      <c r="B12" s="14" t="inlineStr">
        <is>
          <t>2 x C x Tc</t>
        </is>
      </c>
      <c r="C12" s="9" t="n">
        <v>28</v>
      </c>
      <c r="D12" s="7" t="inlineStr"/>
      <c r="E12" s="8" t="inlineStr">
        <is>
          <t>interstate has no round-0 states</t>
        </is>
      </c>
    </row>
    <row r="13">
      <c r="A13" s="8" t="inlineStr">
        <is>
          <t>6 mid/end states</t>
        </is>
      </c>
      <c r="B13" s="14" t="inlineStr">
        <is>
          <t>6 x C x T</t>
        </is>
      </c>
      <c r="C13" s="9" t="n">
        <v>96</v>
      </c>
      <c r="D13" s="7" t="inlineStr"/>
      <c r="E13" s="8" t="inlineStr">
        <is>
          <t>Unloaded, Sorted, Unloaded2, Sorted2, Despatch2, Delivered</t>
        </is>
      </c>
    </row>
    <row r="14">
      <c r="A14" s="8" t="inlineStr">
        <is>
          <t>Despatch1_&lt;hub&gt;_&lt;tag&gt;</t>
        </is>
      </c>
      <c r="B14" s="14" t="inlineStr">
        <is>
          <t>H x C x T</t>
        </is>
      </c>
      <c r="C14" s="9" t="n">
        <v>64</v>
      </c>
      <c r="D14" s="7" t="inlineStr"/>
      <c r="E14" s="8" t="inlineStr">
        <is>
          <t>hub flavour x origin tag</t>
        </is>
      </c>
    </row>
    <row r="15">
      <c r="A15" s="19" t="inlineStr">
        <is>
          <t>TOTAL</t>
        </is>
      </c>
      <c r="B15" s="19" t="inlineStr"/>
      <c r="C15" s="20" t="n">
        <v>204</v>
      </c>
      <c r="D15" s="20" t="n">
        <v>204</v>
      </c>
      <c r="E15" s="19" t="inlineStr">
        <is>
          <t>formula = actual</t>
        </is>
      </c>
    </row>
  </sheetData>
  <mergeCells count="4">
    <mergeCell ref="A2:E2"/>
    <mergeCell ref="A1:E1"/>
    <mergeCell ref="A4:E4"/>
    <mergeCell ref="A10:E10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5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4" customWidth="1" min="1" max="1"/>
    <col width="24" customWidth="1" min="2" max="2"/>
    <col width="14" customWidth="1" min="3" max="3"/>
    <col width="14" customWidth="1" min="4" max="4"/>
    <col width="56" customWidth="1" min="5" max="5"/>
  </cols>
  <sheetData>
    <row r="1">
      <c r="A1" s="1" t="inlineStr">
        <is>
          <t>Demand rows — and the one place the formula overstates</t>
        </is>
      </c>
    </row>
    <row r="3" ht="30" customHeight="1">
      <c r="A3" s="6" t="inlineStr">
        <is>
          <t>Sink family</t>
        </is>
      </c>
      <c r="B3" s="6" t="inlineStr">
        <is>
          <t>Equation</t>
        </is>
      </c>
      <c r="C3" s="6" t="inlineStr">
        <is>
          <t>Formula</t>
        </is>
      </c>
      <c r="D3" s="6" t="inlineStr">
        <is>
          <t>Actual</t>
        </is>
      </c>
      <c r="E3" s="6" t="inlineStr">
        <is>
          <t>Why they differ</t>
        </is>
      </c>
    </row>
    <row r="4">
      <c r="A4" s="7" t="inlineStr">
        <is>
          <t>NEW — delivery zones</t>
        </is>
      </c>
      <c r="B4" s="14" t="inlineStr">
        <is>
          <t>Z x C</t>
        </is>
      </c>
      <c r="C4" s="9" t="n">
        <v>2092</v>
      </c>
      <c r="D4" s="9" t="n">
        <v>2088</v>
      </c>
      <c r="E4" s="8" t="inlineStr">
        <is>
          <t>a few zone x class combinations carry zero volume</t>
        </is>
      </c>
    </row>
    <row r="5">
      <c r="A5" s="7" t="inlineStr">
        <is>
          <t>NEW — interstate sinks</t>
        </is>
      </c>
      <c r="B5" s="14" t="inlineStr">
        <is>
          <t>H x 1</t>
        </is>
      </c>
      <c r="C5" s="9" t="n">
        <v>3</v>
      </c>
      <c r="D5" s="9" t="n">
        <v>3</v>
      </c>
      <c r="E5" s="8" t="inlineStr">
        <is>
          <t>one class per hub</t>
        </is>
      </c>
    </row>
    <row r="6">
      <c r="A6" s="7" t="inlineStr">
        <is>
          <t>NEW — local terminate</t>
        </is>
      </c>
      <c r="B6" s="14" t="inlineStr">
        <is>
          <t>n_r0 x C</t>
        </is>
      </c>
      <c r="C6" s="9" t="n">
        <v>6</v>
      </c>
      <c r="D6" s="9" t="n">
        <v>6</v>
      </c>
      <c r="E6" s="7" t="inlineStr"/>
    </row>
    <row r="7">
      <c r="A7" s="19" t="inlineStr">
        <is>
          <t>NEW TOTAL</t>
        </is>
      </c>
      <c r="B7" s="19" t="inlineStr"/>
      <c r="C7" s="20" t="n">
        <v>2101</v>
      </c>
      <c r="D7" s="20" t="n">
        <v>2097</v>
      </c>
      <c r="E7" s="19" t="inlineStr"/>
    </row>
    <row r="9">
      <c r="A9" s="21" t="inlineStr">
        <is>
          <t>OLD — delivery zones</t>
        </is>
      </c>
      <c r="B9" s="22" t="inlineStr">
        <is>
          <t>Z x C x T</t>
        </is>
      </c>
      <c r="C9" s="23" t="n">
        <v>16736</v>
      </c>
      <c r="D9" s="23" t="n">
        <v>12371</v>
      </c>
      <c r="E9" s="25" t="inlineStr">
        <is>
          <t>LANES are emitted for every combination, but DEMAND ROWS only where the IPF fit puts non-zero volume. The matrix is ~74% full.</t>
        </is>
      </c>
    </row>
    <row r="10">
      <c r="A10" s="7" t="inlineStr">
        <is>
          <t>OLD — interstate sinks</t>
        </is>
      </c>
      <c r="B10" s="14" t="inlineStr">
        <is>
          <t>H x C x Tc</t>
        </is>
      </c>
      <c r="C10" s="9" t="n">
        <v>56</v>
      </c>
      <c r="D10" s="9" t="n">
        <v>56</v>
      </c>
      <c r="E10" s="7" t="inlineStr"/>
    </row>
    <row r="11">
      <c r="A11" s="7" t="inlineStr">
        <is>
          <t>OLD — local terminate</t>
        </is>
      </c>
      <c r="B11" s="14" t="inlineStr">
        <is>
          <t>n_r0 x C</t>
        </is>
      </c>
      <c r="C11" s="9" t="n">
        <v>6</v>
      </c>
      <c r="D11" s="9" t="n">
        <v>6</v>
      </c>
      <c r="E11" s="7" t="inlineStr"/>
    </row>
    <row r="12">
      <c r="A12" s="19" t="inlineStr">
        <is>
          <t>OLD TOTAL</t>
        </is>
      </c>
      <c r="B12" s="19" t="inlineStr"/>
      <c r="C12" s="19" t="inlineStr"/>
      <c r="D12" s="20" t="n">
        <v>12433</v>
      </c>
      <c r="E12" s="19" t="inlineStr"/>
    </row>
    <row r="15">
      <c r="A15" s="12" t="inlineStr">
        <is>
          <t>So lanes grow exactly 8x, but demand rows grow 5.9x. Quoting 8x for demand rows would overstate it.</t>
        </is>
      </c>
      <c r="B15" s="13" t="n"/>
      <c r="C15" s="13" t="n"/>
      <c r="D15" s="13" t="n"/>
      <c r="E15" s="13" t="n"/>
    </row>
  </sheetData>
  <mergeCells count="2">
    <mergeCell ref="A15:E15"/>
    <mergeCell ref="A1:E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6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8" customWidth="1" min="1" max="1"/>
    <col width="36" customWidth="1" min="2" max="2"/>
    <col width="16" customWidth="1" min="3" max="3"/>
    <col width="16" customWidth="1" min="4" max="4"/>
    <col width="40" customWidth="1" min="5" max="5"/>
  </cols>
  <sheetData>
    <row r="1">
      <c r="A1" s="1" t="inlineStr">
        <is>
          <t>What one more origin cluster costs</t>
        </is>
      </c>
    </row>
    <row r="2" ht="28" customHeight="1">
      <c r="A2" s="2" t="inlineStr">
        <is>
          <t>Split Dandenong, or open a new first-mile site. Set T: 8 -&gt; 9, Tc: 7 -&gt; 8 in the OLD model. The NEW model has no origin tag to widen.</t>
        </is>
      </c>
    </row>
    <row r="3" ht="30" customHeight="1">
      <c r="A3" s="6" t="inlineStr">
        <is>
          <t>What grows</t>
        </is>
      </c>
      <c r="B3" s="6" t="inlineStr">
        <is>
          <t>Equation (OLD)</t>
        </is>
      </c>
      <c r="C3" s="6" t="inlineStr">
        <is>
          <t>OLD delta</t>
        </is>
      </c>
      <c r="D3" s="6" t="inlineStr">
        <is>
          <t>NEW delta</t>
        </is>
      </c>
      <c r="E3" s="6" t="inlineStr">
        <is>
          <t>Why</t>
        </is>
      </c>
    </row>
    <row r="4">
      <c r="A4" s="7" t="inlineStr">
        <is>
          <t>delivery lanes</t>
        </is>
      </c>
      <c r="B4" s="14" t="inlineStr">
        <is>
          <t>Z x C x (T2 - T)</t>
        </is>
      </c>
      <c r="C4" s="9" t="n">
        <v>2092</v>
      </c>
      <c r="D4" s="26" t="n">
        <v>0</v>
      </c>
      <c r="E4" s="8" t="inlineStr">
        <is>
          <t>one more product state per zone, per class</t>
        </is>
      </c>
    </row>
    <row r="5">
      <c r="A5" s="7" t="inlineStr">
        <is>
          <t>hub-&gt;PDC lanes</t>
        </is>
      </c>
      <c r="B5" s="14" t="inlineStr">
        <is>
          <t>H x Dp x C x M x 1</t>
        </is>
      </c>
      <c r="C5" s="9" t="n">
        <v>264</v>
      </c>
      <c r="D5" s="26" t="n">
        <v>0</v>
      </c>
      <c r="E5" s="8" t="inlineStr">
        <is>
          <t>every hub-to-PDC leg gains a tag</t>
        </is>
      </c>
    </row>
    <row r="6">
      <c r="A6" s="7" t="inlineStr">
        <is>
          <t>hub-&gt;hub lanes</t>
        </is>
      </c>
      <c r="B6" s="14" t="inlineStr">
        <is>
          <t>H x (H-1) x C x M x 1</t>
        </is>
      </c>
      <c r="C6" s="9" t="n">
        <v>72</v>
      </c>
      <c r="D6" s="26" t="n">
        <v>0</v>
      </c>
      <c r="E6" s="8" t="inlineStr"/>
    </row>
    <row r="7">
      <c r="A7" s="7" t="inlineStr">
        <is>
          <t>products</t>
        </is>
      </c>
      <c r="B7" s="14" t="inlineStr">
        <is>
          <t>C + 2C + 6C + H x C</t>
        </is>
      </c>
      <c r="C7" s="9" t="n">
        <v>26</v>
      </c>
      <c r="D7" s="26" t="n">
        <v>0</v>
      </c>
      <c r="E7" s="8" t="inlineStr"/>
    </row>
    <row r="8">
      <c r="A8" s="7" t="inlineStr">
        <is>
          <t>demand rows</t>
        </is>
      </c>
      <c r="B8" s="14" t="inlineStr">
        <is>
          <t>delivery rows / T</t>
        </is>
      </c>
      <c r="C8" s="9" t="n">
        <v>1546</v>
      </c>
      <c r="D8" s="26" t="n">
        <v>0</v>
      </c>
      <c r="E8" s="8" t="inlineStr">
        <is>
          <t>approximately, at the same fill rate</t>
        </is>
      </c>
    </row>
    <row r="9">
      <c r="A9" s="7" t="inlineStr">
        <is>
          <t>OriginMix cells to INVENT</t>
        </is>
      </c>
      <c r="B9" s="14" t="inlineStr">
        <is>
          <t>Dp x 1</t>
        </is>
      </c>
      <c r="C9" s="9" t="n">
        <v>11</v>
      </c>
      <c r="D9" s="26" t="n">
        <v>0</v>
      </c>
      <c r="E9" s="8" t="inlineStr">
        <is>
          <t>we have no origin-destination data — each is a gravity-model guess</t>
        </is>
      </c>
    </row>
    <row r="10">
      <c r="A10" s="19" t="inlineStr">
        <is>
          <t>TOTAL new rows</t>
        </is>
      </c>
      <c r="B10" s="19" t="inlineStr"/>
      <c r="C10" s="20" t="n">
        <v>4000</v>
      </c>
      <c r="D10" s="20" t="n">
        <v>0</v>
      </c>
      <c r="E10" s="19" t="inlineStr"/>
    </row>
    <row r="12">
      <c r="A12" s="3" t="inlineStr">
        <is>
          <t>The scaling law</t>
        </is>
      </c>
      <c r="B12" s="4" t="n"/>
      <c r="C12" s="4" t="n"/>
      <c r="D12" s="4" t="n"/>
      <c r="E12" s="5" t="n"/>
    </row>
    <row r="13">
      <c r="A13" s="7" t="inlineStr">
        <is>
          <t>NEW baseline</t>
        </is>
      </c>
      <c r="B13" s="14" t="inlineStr">
        <is>
          <t>rows  proportional to  K + Z</t>
        </is>
      </c>
      <c r="C13" s="7" t="inlineStr"/>
      <c r="D13" s="7" t="inlineStr"/>
      <c r="E13" s="8" t="inlineStr">
        <is>
          <t>linear, and INDEPENDENT of how many origins exist. LOC/INT stays 2-way no matter how many first-mile sites there are.</t>
        </is>
      </c>
    </row>
    <row r="14">
      <c r="A14" s="7" t="inlineStr">
        <is>
          <t>OLD baseline</t>
        </is>
      </c>
      <c r="B14" s="14" t="inlineStr">
        <is>
          <t>rows  proportional to  T x (Z + H x Dp)</t>
        </is>
      </c>
      <c r="C14" s="7" t="inlineStr"/>
      <c r="D14" s="7" t="inlineStr"/>
      <c r="E14" s="8" t="inlineStr">
        <is>
          <t>linear in origins x destinations. Every new origin touches every destination.</t>
        </is>
      </c>
    </row>
    <row r="16">
      <c r="A16" s="12" t="inlineStr">
        <is>
          <t>In the NEW model a new first-mile site with N catchments costs 2N + 9 lanes (a 50-catchment site = 109 lanes), 0 products and 0 demand rows.</t>
        </is>
      </c>
      <c r="B16" s="13" t="n"/>
      <c r="C16" s="13" t="n"/>
      <c r="D16" s="13" t="n"/>
      <c r="E16" s="13" t="n"/>
    </row>
  </sheetData>
  <mergeCells count="4">
    <mergeCell ref="A2:E2"/>
    <mergeCell ref="A16:E16"/>
    <mergeCell ref="A1:E1"/>
    <mergeCell ref="A12:E1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21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30" customWidth="1" min="2" max="2"/>
    <col width="16" customWidth="1" min="3" max="3"/>
    <col width="22" customWidth="1" min="4" max="4"/>
    <col width="64" customWidth="1" min="5" max="5"/>
  </cols>
  <sheetData>
    <row r="1">
      <c r="A1" s="1" t="inlineStr">
        <is>
          <t>P + IN + stage = D + OUT + L</t>
        </is>
      </c>
    </row>
    <row r="2" ht="28" customHeight="1">
      <c r="A2" s="2" t="inlineStr">
        <is>
          <t>The identity every source and sink must satisfy. Read from CustomerDemand.csv and SupplierCapabilities.csv of the new model.</t>
        </is>
      </c>
    </row>
    <row r="3" ht="30" customHeight="1">
      <c r="A3" s="6" t="inlineStr">
        <is>
          <t>Term</t>
        </is>
      </c>
      <c r="B3" s="6" t="inlineStr">
        <is>
          <t>Name</t>
        </is>
      </c>
      <c r="C3" s="6" t="inlineStr">
        <is>
          <t>EA / day</t>
        </is>
      </c>
      <c r="D3" s="6" t="inlineStr">
        <is>
          <t>Equation</t>
        </is>
      </c>
      <c r="E3" s="6" t="inlineStr">
        <is>
          <t>What it represents</t>
        </is>
      </c>
    </row>
    <row r="4">
      <c r="A4" s="3" t="inlineStr">
        <is>
          <t>SOURCES — the only places volume enters</t>
        </is>
      </c>
      <c r="B4" s="4" t="n"/>
      <c r="C4" s="4" t="n"/>
      <c r="D4" s="4" t="n"/>
      <c r="E4" s="5" t="n"/>
    </row>
    <row r="5">
      <c r="A5" s="7" t="inlineStr">
        <is>
          <t>P</t>
        </is>
      </c>
      <c r="B5" s="7" t="inlineStr">
        <is>
          <t>pickup</t>
        </is>
      </c>
      <c r="C5" s="9" t="n">
        <v>83715</v>
      </c>
      <c r="D5" s="14" t="inlineStr">
        <is>
          <t>OUT + L</t>
        </is>
      </c>
      <c r="E5" s="8" t="inlineStr">
        <is>
          <t>Parcels LODGED by senders in Melbourne today, collected from the catchments into 7 first-mile PDCs. Nothing to do with what Melbourne receives. NOTE: P = D / 2 is an ASSUMPTION ('Melbourne lodges half of what it delivers'), not measured data.</t>
        </is>
      </c>
    </row>
    <row r="6">
      <c r="A6" s="7" t="inlineStr">
        <is>
          <t>IN</t>
        </is>
      </c>
      <c r="B6" s="7" t="inlineStr">
        <is>
          <t>interstate arrivals</t>
        </is>
      </c>
      <c r="C6" s="9" t="n">
        <v>159083</v>
      </c>
      <c r="D6" s="14" t="inlineStr">
        <is>
          <t>D - stage</t>
        </is>
      </c>
      <c r="E6" s="8" t="inlineStr">
        <is>
          <t>Last night's interstate linehaul landing at the hubs. Under the new model this is the ONLY external feed for delivery, which is why it rose ~27% when pickup stopped being delivered here.</t>
        </is>
      </c>
    </row>
    <row r="7">
      <c r="A7" s="7" t="inlineStr">
        <is>
          <t>stage</t>
        </is>
      </c>
      <c r="B7" s="7" t="inlineStr">
        <is>
          <t>local stage</t>
        </is>
      </c>
      <c r="C7" s="9" t="n">
        <v>8348</v>
      </c>
      <c r="D7" s="14">
        <f> L (steady state)</f>
        <v/>
      </c>
      <c r="E7" s="8" t="inlineStr">
        <is>
          <t>NOT new volume — the SAME parcels as L, seen one day later. The model optimises ONE representative day, so the overnight carry must appear as a source today (yesterday's keep arriving) and a sink today (today's keep leaving). Delete both and the balance still closes; they exist so the round-0 sort work and overnight inventory get COSTED.</t>
        </is>
      </c>
    </row>
    <row r="8">
      <c r="A8" s="19" t="inlineStr"/>
      <c r="B8" s="19" t="inlineStr">
        <is>
          <t>TOTAL SOURCES</t>
        </is>
      </c>
      <c r="C8" s="20" t="n">
        <v>251146</v>
      </c>
      <c r="D8" s="19" t="inlineStr"/>
      <c r="E8" s="19" t="inlineStr"/>
    </row>
    <row r="10">
      <c r="A10" s="3" t="inlineStr">
        <is>
          <t>SINKS — the only places volume leaves</t>
        </is>
      </c>
      <c r="B10" s="4" t="n"/>
      <c r="C10" s="4" t="n"/>
      <c r="D10" s="4" t="n"/>
      <c r="E10" s="5" t="n"/>
    </row>
    <row r="11">
      <c r="A11" s="7" t="inlineStr">
        <is>
          <t>D</t>
        </is>
      </c>
      <c r="B11" s="7" t="inlineStr">
        <is>
          <t>delivered</t>
        </is>
      </c>
      <c r="C11" s="9" t="n">
        <v>167431</v>
      </c>
      <c r="D11" s="14" t="inlineStr">
        <is>
          <t>real demand data</t>
        </is>
      </c>
      <c r="E11" s="8" t="inlineStr">
        <is>
          <t>Last-mile demand at the delivery zones.</t>
        </is>
      </c>
    </row>
    <row r="12">
      <c r="A12" s="7" t="inlineStr">
        <is>
          <t>OUT</t>
        </is>
      </c>
      <c r="B12" s="7" t="inlineStr">
        <is>
          <t>interstate despatch</t>
        </is>
      </c>
      <c r="C12" s="9" t="n">
        <v>75367</v>
      </c>
      <c r="D12" s="14" t="inlineStr">
        <is>
          <t>P - L</t>
        </is>
      </c>
      <c r="E12" s="8" t="inlineStr">
        <is>
          <t>ALL pickup that reaches a hub, leaving after ONE sort. Split by class: PP 60/40 to MPF/TPF, EP 100% to MGF.</t>
        </is>
      </c>
    </row>
    <row r="13">
      <c r="A13" s="7" t="inlineStr">
        <is>
          <t>L</t>
        </is>
      </c>
      <c r="B13" s="7" t="inlineStr">
        <is>
          <t>local terminate</t>
        </is>
      </c>
      <c r="C13" s="9" t="n">
        <v>8348</v>
      </c>
      <c r="D13" s="14" t="inlineStr">
        <is>
          <t>LOCAL_KEEP_FRAC x own pickup</t>
        </is>
      </c>
      <c r="E13" s="8" t="inlineStr">
        <is>
          <t>The ~20% of a sorting PDC's own pickup addressed to its own delivery area — sorted on site, staged for tomorrow.</t>
        </is>
      </c>
    </row>
    <row r="14">
      <c r="A14" s="19" t="inlineStr"/>
      <c r="B14" s="19" t="inlineStr">
        <is>
          <t>TOTAL SINKS</t>
        </is>
      </c>
      <c r="C14" s="20" t="n">
        <v>251146</v>
      </c>
      <c r="D14" s="19" t="inlineStr"/>
      <c r="E14" s="19" t="inlineStr"/>
    </row>
    <row r="16">
      <c r="A16" s="17" t="inlineStr"/>
      <c r="B16" s="17" t="inlineStr">
        <is>
          <t>SLACK</t>
        </is>
      </c>
      <c r="C16" s="27" t="n">
        <v>0</v>
      </c>
      <c r="D16" s="17" t="inlineStr">
        <is>
          <t>sources - sinks</t>
        </is>
      </c>
      <c r="E16" s="17" t="inlineStr">
        <is>
          <t>asserted at build time</t>
        </is>
      </c>
    </row>
    <row r="18">
      <c r="A18" s="3" t="inlineStr">
        <is>
          <t>By class</t>
        </is>
      </c>
      <c r="B18" s="4" t="n"/>
      <c r="C18" s="4" t="n"/>
      <c r="D18" s="4" t="n"/>
      <c r="E18" s="5" t="n"/>
    </row>
    <row r="19" ht="30" customHeight="1">
      <c r="A19" s="6" t="inlineStr">
        <is>
          <t>Class</t>
        </is>
      </c>
      <c r="B19" s="6" t="inlineStr">
        <is>
          <t>D</t>
        </is>
      </c>
      <c r="C19" s="6" t="inlineStr">
        <is>
          <t>stage</t>
        </is>
      </c>
      <c r="D19" s="6" t="inlineStr">
        <is>
          <t>IN = D - stage</t>
        </is>
      </c>
      <c r="E19" s="6" t="inlineStr">
        <is>
          <t>OUT</t>
        </is>
      </c>
    </row>
    <row r="20">
      <c r="A20" s="7" t="inlineStr">
        <is>
          <t>PP</t>
        </is>
      </c>
      <c r="B20" s="9" t="n">
        <v>142249</v>
      </c>
      <c r="C20" s="9" t="n">
        <v>7514</v>
      </c>
      <c r="D20" s="9" t="n">
        <v>134735</v>
      </c>
      <c r="E20" s="9" t="n">
        <v>67829</v>
      </c>
    </row>
    <row r="21">
      <c r="A21" s="7" t="inlineStr">
        <is>
          <t>EP</t>
        </is>
      </c>
      <c r="B21" s="9" t="n">
        <v>25182</v>
      </c>
      <c r="C21" s="9" t="n">
        <v>834</v>
      </c>
      <c r="D21" s="9" t="n">
        <v>24348</v>
      </c>
      <c r="E21" s="9" t="n">
        <v>7538</v>
      </c>
    </row>
  </sheetData>
  <mergeCells count="5">
    <mergeCell ref="A4:E4"/>
    <mergeCell ref="A2:E2"/>
    <mergeCell ref="A10:E10"/>
    <mergeCell ref="A1:E1"/>
    <mergeCell ref="A18:E18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3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0" customWidth="1" min="1" max="1"/>
    <col width="12" customWidth="1" min="2" max="2"/>
    <col width="20" customWidth="1" min="3" max="3"/>
    <col width="66" customWidth="1" min="4" max="4"/>
  </cols>
  <sheetData>
    <row r="1">
      <c r="A1" s="1" t="inlineStr">
        <is>
          <t>Does the model tie a site's receipts to its deliveries?</t>
        </is>
      </c>
    </row>
    <row r="2" ht="28" customHeight="1">
      <c r="A2" s="2" t="inlineStr">
        <is>
          <t>Short answer: NO — with exactly one deliberate exception. The identity binds at NETWORK level; at site level it decomposes into independent pins.</t>
        </is>
      </c>
    </row>
    <row r="3" ht="30" customHeight="1">
      <c r="A3" s="6" t="inlineStr">
        <is>
          <t>Quantity</t>
        </is>
      </c>
      <c r="B3" s="6" t="inlineStr">
        <is>
          <t>Count</t>
        </is>
      </c>
      <c r="C3" s="6" t="inlineStr">
        <is>
          <t>Pinned or free</t>
        </is>
      </c>
      <c r="D3" s="6" t="inlineStr">
        <is>
          <t>Note</t>
        </is>
      </c>
    </row>
    <row r="4">
      <c r="A4" s="3" t="inlineStr">
        <is>
          <t>PINNED at site level</t>
        </is>
      </c>
      <c r="B4" s="4" t="n"/>
      <c r="C4" s="4" t="n"/>
      <c r="D4" s="5" t="n"/>
    </row>
    <row r="5">
      <c r="A5" s="7" t="inlineStr">
        <is>
          <t>pickup per first-mile PDC</t>
        </is>
      </c>
      <c r="B5" s="9" t="n">
        <v>7</v>
      </c>
      <c r="C5" s="28" t="inlineStr">
        <is>
          <t>PINNED</t>
        </is>
      </c>
      <c r="D5" s="8" t="inlineStr">
        <is>
          <t>catchment geography is real data; per-catchment cap = P/K plus a PDC-level Min forces every supplier to its cap</t>
        </is>
      </c>
    </row>
    <row r="6">
      <c r="A6" s="7" t="inlineStr">
        <is>
          <t>local keep per round-0 PDC</t>
        </is>
      </c>
      <c r="B6" s="9" t="n">
        <v>3</v>
      </c>
      <c r="C6" s="28" t="inlineStr">
        <is>
          <t>PINNED</t>
        </is>
      </c>
      <c r="D6" s="8" t="inlineStr">
        <is>
          <t>20% of its OWN pickup</t>
        </is>
      </c>
    </row>
    <row r="7">
      <c r="A7" s="7" t="inlineStr">
        <is>
          <t>stage per staging PDC</t>
        </is>
      </c>
      <c r="B7" s="9" t="n">
        <v>3</v>
      </c>
      <c r="C7" s="28" t="inlineStr">
        <is>
          <t>PINNED</t>
        </is>
      </c>
      <c r="D7" s="8">
        <f> its own keep (steady state)</f>
        <v/>
      </c>
    </row>
    <row r="8">
      <c r="A8" s="7" t="inlineStr">
        <is>
          <t>delivery demand per zone</t>
        </is>
      </c>
      <c r="B8" s="9" t="n">
        <v>1046</v>
      </c>
      <c r="C8" s="28" t="inlineStr">
        <is>
          <t>PINNED</t>
        </is>
      </c>
      <c r="D8" s="8" t="inlineStr">
        <is>
          <t>real data</t>
        </is>
      </c>
    </row>
    <row r="9">
      <c r="A9" s="7" t="inlineStr">
        <is>
          <t>interstate despatch per hub</t>
        </is>
      </c>
      <c r="B9" s="9" t="n">
        <v>3</v>
      </c>
      <c r="C9" s="28" t="inlineStr">
        <is>
          <t>PINNED</t>
        </is>
      </c>
      <c r="D9" s="8" t="inlineStr">
        <is>
          <t>the 60:40 / 100% class split</t>
        </is>
      </c>
    </row>
    <row r="10">
      <c r="A10" s="7" t="inlineStr">
        <is>
          <t>arrivals per hub</t>
        </is>
      </c>
      <c r="B10" s="9" t="n">
        <v>3</v>
      </c>
      <c r="C10" s="28" t="inlineStr">
        <is>
          <t>PINNED</t>
        </is>
      </c>
      <c r="D10" s="8" t="inlineStr">
        <is>
          <t>mirrors the class split (ARRIVAL_SPLIT_BY_CLASS)</t>
        </is>
      </c>
    </row>
    <row r="12">
      <c r="A12" s="3" t="inlineStr">
        <is>
          <t>FREE — the solver decides</t>
        </is>
      </c>
      <c r="B12" s="4" t="n"/>
      <c r="C12" s="4" t="n"/>
      <c r="D12" s="5" t="n"/>
    </row>
    <row r="13">
      <c r="A13" s="7" t="inlineStr">
        <is>
          <t>which hub (or DLC) supplies each delivering PDC</t>
        </is>
      </c>
      <c r="B13" s="7" t="inlineStr"/>
      <c r="C13" s="15" t="inlineStr">
        <is>
          <t>FREE</t>
        </is>
      </c>
      <c r="D13" s="8" t="inlineStr">
        <is>
          <t>Despatch2_* carries NO origin identity</t>
        </is>
      </c>
    </row>
    <row r="14">
      <c r="A14" s="7" t="inlineStr">
        <is>
          <t>which site runs round 2</t>
        </is>
      </c>
      <c r="B14" s="7" t="inlineStr"/>
      <c r="C14" s="15" t="inlineStr">
        <is>
          <t>FREE</t>
        </is>
      </c>
      <c r="D14" s="8" t="inlineStr">
        <is>
          <t>subject only to 'not the site that ran round 1'</t>
        </is>
      </c>
    </row>
    <row r="15">
      <c r="A15" s="7" t="inlineStr">
        <is>
          <t>unload machine type</t>
        </is>
      </c>
      <c r="B15" s="7" t="inlineStr"/>
      <c r="C15" s="15" t="inlineStr">
        <is>
          <t>FREE</t>
        </is>
      </c>
      <c r="D15" s="8" t="inlineStr">
        <is>
          <t>ULD / loose / longreach are competing recipes</t>
        </is>
      </c>
    </row>
    <row r="16">
      <c r="A16" s="7" t="inlineStr">
        <is>
          <t>sorter choice</t>
        </is>
      </c>
      <c r="B16" s="7" t="inlineStr"/>
      <c r="C16" s="15" t="inlineStr">
        <is>
          <t>FREE</t>
        </is>
      </c>
      <c r="D16" s="8" t="inlineStr">
        <is>
          <t>large / small / manual, subject to the manual Min floor</t>
        </is>
      </c>
    </row>
    <row r="17">
      <c r="A17" s="7" t="inlineStr">
        <is>
          <t>transport mode per lane</t>
        </is>
      </c>
      <c r="B17" s="7" t="inlineStr"/>
      <c r="C17" s="15" t="inlineStr">
        <is>
          <t>FREE</t>
        </is>
      </c>
      <c r="D17" s="8" t="inlineStr">
        <is>
          <t>B_Double / Twelve_Tonner / Rigid_Truck</t>
        </is>
      </c>
    </row>
    <row r="18">
      <c r="A18" s="7" t="inlineStr">
        <is>
          <t>whether DLC is used at all</t>
        </is>
      </c>
      <c r="B18" s="7" t="inlineStr"/>
      <c r="C18" s="15" t="inlineStr">
        <is>
          <t>FREE</t>
        </is>
      </c>
      <c r="D18" s="8" t="inlineStr">
        <is>
          <t>DLC_SMALL_SHARE is a Max, not a pin</t>
        </is>
      </c>
    </row>
    <row r="20">
      <c r="A20" s="3" t="inlineStr">
        <is>
          <t>The answer</t>
        </is>
      </c>
      <c r="B20" s="4" t="n"/>
      <c r="C20" s="4" t="n"/>
      <c r="D20" s="5" t="n"/>
    </row>
    <row r="21" ht="46" customHeight="1">
      <c r="A21" s="12" t="inlineStr">
        <is>
          <t>The ONLY link between what a site takes in and what it sends out is the local keep: a staging PDC's stage supply equals its own 20% keep. That is 3 numbers (6 rows) in the whole model, and it is a real ops behaviour, not a modelling artefact.</t>
        </is>
      </c>
      <c r="B21" s="13" t="n"/>
      <c r="C21" s="13" t="n"/>
      <c r="D21" s="13" t="n"/>
    </row>
    <row r="22" ht="46" customHeight="1">
      <c r="A22" s="12" t="inlineStr">
        <is>
          <t>Everything else is decoupled. Bayswater's pickup and Bayswater's delivery demand are independent quantities. The HUB-&gt;PDC middle-mile constraints are consolidation FLOORS (at most 500/day against Darebin's ~20,000 demand), not sourcing pins.</t>
        </is>
      </c>
      <c r="B22" s="13" t="n"/>
      <c r="C22" s="13" t="n"/>
      <c r="D22" s="13" t="n"/>
    </row>
    <row r="23" ht="46" customHeight="1">
      <c r="A23" s="12" t="inlineStr">
        <is>
          <t>Under the OD model this flips: Delivered_&lt;origin&gt; at a zone under PDC d can only be produced from Pickup_&lt;origin&gt;, and the OriginMix matrix pins how much of each PDC's delivery comes from each origin — 8 hard equalities per delivering PDC, 88 in total, instead of 0.</t>
        </is>
      </c>
      <c r="B23" s="13" t="n"/>
      <c r="C23" s="13" t="n"/>
      <c r="D23" s="13" t="n"/>
    </row>
  </sheetData>
  <mergeCells count="8">
    <mergeCell ref="A1:D1"/>
    <mergeCell ref="A23:D23"/>
    <mergeCell ref="A22:D22"/>
    <mergeCell ref="A12:D12"/>
    <mergeCell ref="A4:D4"/>
    <mergeCell ref="A20:D20"/>
    <mergeCell ref="A21:D21"/>
    <mergeCell ref="A2:D2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5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6" customWidth="1" min="1" max="1"/>
    <col width="18" customWidth="1" min="2" max="2"/>
    <col width="18" customWidth="1" min="3" max="3"/>
    <col width="18" customWidth="1" min="4" max="4"/>
    <col width="14" customWidth="1" min="5" max="5"/>
    <col width="46" customWidth="1" min="6" max="6"/>
  </cols>
  <sheetData>
    <row r="1">
      <c r="A1" s="1" t="inlineStr">
        <is>
          <t>Hub dock capacity — the cost of pinning the class split</t>
        </is>
      </c>
    </row>
    <row r="2" ht="28" customHeight="1">
      <c r="A2" s="2" t="inlineStr">
        <is>
          <t>Round 1 is PINNED per hub by CLASS_HUB_SPLIT. Round 2 is not (the solver picks the second sort site), so it is spread evenly as a planning assumption. Dock rates read from WorkCenters.csv.</t>
        </is>
      </c>
    </row>
    <row r="3" ht="30" customHeight="1">
      <c r="A3" s="6" t="inlineStr">
        <is>
          <t>Hub</t>
        </is>
      </c>
      <c r="B3" s="6" t="inlineStr">
        <is>
          <t>Round-1 (pinned by class)</t>
        </is>
      </c>
      <c r="C3" s="6" t="inlineStr">
        <is>
          <t>Round-2 (even split)</t>
        </is>
      </c>
      <c r="D3" s="6" t="inlineStr">
        <is>
          <t>Dock needed (+10%)</t>
        </is>
      </c>
      <c r="E3" s="6" t="inlineStr">
        <is>
          <t>Scale</t>
        </is>
      </c>
      <c r="F3" s="6" t="inlineStr">
        <is>
          <t>Reading / cross-check vs WorkCenters.csv</t>
        </is>
      </c>
    </row>
    <row r="4">
      <c r="A4" s="7" t="inlineStr">
        <is>
          <t>Melbourne_Gateway</t>
        </is>
      </c>
      <c r="B4" s="9" t="n">
        <v>31886</v>
      </c>
      <c r="C4" s="9" t="n">
        <v>53028</v>
      </c>
      <c r="D4" s="9" t="n">
        <v>93405</v>
      </c>
      <c r="E4" s="15" t="n">
        <v>1</v>
      </c>
      <c r="F4" s="8" t="inlineStr">
        <is>
          <t>fits the base fleet  |  WorkCenters says 105,000 (OK)</t>
        </is>
      </c>
    </row>
    <row r="5">
      <c r="A5" s="7" t="inlineStr">
        <is>
          <t>Melbourne_Parcel</t>
        </is>
      </c>
      <c r="B5" s="9" t="n">
        <v>121538</v>
      </c>
      <c r="C5" s="9" t="n">
        <v>53028</v>
      </c>
      <c r="D5" s="9" t="n">
        <v>192022</v>
      </c>
      <c r="E5" s="28" t="n">
        <v>1.829</v>
      </c>
      <c r="F5" s="8" t="inlineStr">
        <is>
          <t>SHORT by 87,023 EA/day/side  |  WorkCenters says 192,024 (OK)</t>
        </is>
      </c>
    </row>
    <row r="6">
      <c r="A6" s="7" t="inlineStr">
        <is>
          <t>Tullamarine_Facility</t>
        </is>
      </c>
      <c r="B6" s="9" t="n">
        <v>81026</v>
      </c>
      <c r="C6" s="9" t="n">
        <v>53028</v>
      </c>
      <c r="D6" s="9" t="n">
        <v>147459</v>
      </c>
      <c r="E6" s="28" t="n">
        <v>1.404</v>
      </c>
      <c r="F6" s="8" t="inlineStr">
        <is>
          <t>SHORT by 42,459 EA/day/side  |  WorkCenters says 147,460 (OK)</t>
        </is>
      </c>
    </row>
    <row r="7">
      <c r="A7" s="19" t="inlineStr">
        <is>
          <t>base fleet per hub per side</t>
        </is>
      </c>
      <c r="B7" s="19" t="inlineStr"/>
      <c r="C7" s="19" t="inlineStr"/>
      <c r="D7" s="20" t="n">
        <v>105000</v>
      </c>
      <c r="E7" s="19" t="n">
        <v>1</v>
      </c>
      <c r="F7" s="19" t="inlineStr">
        <is>
          <t>one machine of each unload type: 15,000 + 55,000 + 35,000</t>
        </is>
      </c>
    </row>
    <row r="9" ht="30" customHeight="1">
      <c r="A9" s="6" t="inlineStr"/>
      <c r="B9" s="6" t="inlineStr">
        <is>
          <t>share of OUT (EP)</t>
        </is>
      </c>
      <c r="C9" s="6" t="inlineStr">
        <is>
          <t>share of OUT (PP)</t>
        </is>
      </c>
      <c r="D9" s="6" t="inlineStr">
        <is>
          <t>share of IN (EP)</t>
        </is>
      </c>
      <c r="E9" s="6" t="inlineStr">
        <is>
          <t>share of IN (PP)</t>
        </is>
      </c>
      <c r="F9" s="6" t="inlineStr">
        <is>
          <t>read back from the generated tables</t>
        </is>
      </c>
    </row>
    <row r="10">
      <c r="A10" s="29" t="inlineStr">
        <is>
          <t>Melbourne_Gateway</t>
        </is>
      </c>
      <c r="B10" s="29" t="n">
        <v>1</v>
      </c>
      <c r="C10" s="29" t="n">
        <v>0</v>
      </c>
      <c r="D10" s="29" t="n">
        <v>1</v>
      </c>
      <c r="E10" s="29" t="n">
        <v>0</v>
      </c>
      <c r="F10" s="30" t="inlineStr">
        <is>
          <t>CustomerDemand.csv / SupplierCapabilities.csv</t>
        </is>
      </c>
    </row>
    <row r="11">
      <c r="A11" s="29" t="inlineStr">
        <is>
          <t>Melbourne_Parcel</t>
        </is>
      </c>
      <c r="B11" s="29" t="n">
        <v>0</v>
      </c>
      <c r="C11" s="29" t="n">
        <v>0.6</v>
      </c>
      <c r="D11" s="29" t="n">
        <v>0</v>
      </c>
      <c r="E11" s="29" t="n">
        <v>0.6</v>
      </c>
      <c r="F11" s="30" t="inlineStr">
        <is>
          <t>CustomerDemand.csv / SupplierCapabilities.csv</t>
        </is>
      </c>
    </row>
    <row r="12">
      <c r="A12" s="29" t="inlineStr">
        <is>
          <t>Tullamarine_Facility</t>
        </is>
      </c>
      <c r="B12" s="29" t="n">
        <v>0</v>
      </c>
      <c r="C12" s="29" t="n">
        <v>0.4</v>
      </c>
      <c r="D12" s="29" t="n">
        <v>0</v>
      </c>
      <c r="E12" s="29" t="n">
        <v>0.4</v>
      </c>
      <c r="F12" s="30" t="inlineStr">
        <is>
          <t>CustomerDemand.csv / SupplierCapabilities.csv</t>
        </is>
      </c>
    </row>
    <row r="15" ht="60" customHeight="1">
      <c r="A15" s="12" t="inlineStr">
        <is>
          <t>Total network touches are unchanged by the split — it only decides WHO carries them. Moving from 80:20 to 60:40 took ~42k/day off MPF's shortfall but pushed TPF over its base fleet for the first time. Docks are sized PER HUB because a network average would hand a hub a dock smaller than its own pinned round-1 volume — an infeasible model that looks fine in the summary line.</t>
        </is>
      </c>
      <c r="B15" s="13" t="n"/>
      <c r="C15" s="13" t="n"/>
      <c r="D15" s="13" t="n"/>
      <c r="E15" s="13" t="n"/>
      <c r="F15" s="13" t="n"/>
    </row>
  </sheetData>
  <mergeCells count="3">
    <mergeCell ref="A2:F2"/>
    <mergeCell ref="A1:F1"/>
    <mergeCell ref="A15:F15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7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4" customWidth="1" min="1" max="1"/>
    <col width="14" customWidth="1" min="2" max="2"/>
    <col width="14" customWidth="1" min="3" max="3"/>
    <col width="14" customWidth="1" min="4" max="4"/>
    <col width="16" customWidth="1" min="5" max="5"/>
    <col width="56" customWidth="1" min="6" max="6"/>
  </cols>
  <sheetData>
    <row r="1">
      <c r="A1" s="1" t="inlineStr">
        <is>
          <t>The resolution dial — what each rung buys and costs</t>
        </is>
      </c>
    </row>
    <row r="2" ht="28" customHeight="1">
      <c r="A2" s="2" t="inlineStr">
        <is>
          <t>'Source/sink resolution' = how finely a product remembers where it came from. Rows marked 'measured' were generated and counted; the rest are from earlier runs.</t>
        </is>
      </c>
    </row>
    <row r="3" ht="30" customHeight="1">
      <c r="A3" s="6" t="inlineStr">
        <is>
          <t>Resolution</t>
        </is>
      </c>
      <c r="B3" s="6" t="inlineStr">
        <is>
          <t>Products</t>
        </is>
      </c>
      <c r="C3" s="6" t="inlineStr">
        <is>
          <t>Demand rows</t>
        </is>
      </c>
      <c r="D3" s="6" t="inlineStr">
        <is>
          <t>Lanes</t>
        </is>
      </c>
      <c r="E3" s="6" t="inlineStr">
        <is>
          <t>Numbers to invent</t>
        </is>
      </c>
      <c r="F3" s="6" t="inlineStr">
        <is>
          <t>What it buys / costs</t>
        </is>
      </c>
    </row>
    <row r="4">
      <c r="A4" s="7" t="inlineStr">
        <is>
          <t>untagged (old baseline)</t>
        </is>
      </c>
      <c r="B4" s="9" t="n">
        <v>26</v>
      </c>
      <c r="C4" s="9" t="n">
        <v>2100</v>
      </c>
      <c r="D4" s="9" t="n">
        <v>3446</v>
      </c>
      <c r="E4" s="9" t="n">
        <v>0</v>
      </c>
      <c r="F4" s="8" t="inlineStr">
        <is>
          <t>Cannot tell pickup from arrivals. The solver satisfies the interstate sink with arrivals and delivers the pickup — and the balance STILL closes, so the error is invisible.</t>
        </is>
      </c>
    </row>
    <row r="5">
      <c r="A5" s="10" t="inlineStr">
        <is>
          <t>LOC / INT  (what we built)</t>
        </is>
      </c>
      <c r="B5" s="11" t="n">
        <v>30</v>
      </c>
      <c r="C5" s="11" t="n">
        <v>2097</v>
      </c>
      <c r="D5" s="11" t="n">
        <v>3286</v>
      </c>
      <c r="E5" s="11" t="n">
        <v>0</v>
      </c>
      <c r="F5" s="18" t="inlineStr">
        <is>
          <t>The coarsest resolution that still answers the question asked. Structural guarantee, zero invented numbers, site-level freedom preserved.</t>
        </is>
      </c>
    </row>
    <row r="6">
      <c r="A6" s="7" t="inlineStr">
        <is>
          <t>interstate + stage (derived)</t>
        </is>
      </c>
      <c r="B6" s="9" t="n">
        <v>172</v>
      </c>
      <c r="C6" s="9" t="n">
        <v>3053</v>
      </c>
      <c r="D6" s="9" t="n">
        <v>4738</v>
      </c>
      <c r="E6" s="9" t="n">
        <v>14</v>
      </c>
      <c r="F6" s="8" t="inlineStr">
        <is>
          <t>Middle rung. The matrix becomes DERIVED (14 cells) instead of assumed (88). Can represent same-site local delivery but not cross-town.</t>
        </is>
      </c>
    </row>
    <row r="7">
      <c r="A7" s="21" t="inlineStr">
        <is>
          <t>full OD origin mix</t>
        </is>
      </c>
      <c r="B7" s="23" t="n">
        <v>204</v>
      </c>
      <c r="C7" s="23" t="n">
        <v>12433</v>
      </c>
      <c r="D7" s="23" t="n">
        <v>20490</v>
      </c>
      <c r="E7" s="23" t="n">
        <v>88</v>
      </c>
      <c r="F7" s="25" t="inlineStr">
        <is>
          <t>Full traceability, so closing a facility is a cost trade-off rather than an infeasibility. But 88 cells come from a gravity model with a 20 km decay constant nobody has measured.</t>
        </is>
      </c>
    </row>
    <row r="9">
      <c r="A9" s="3" t="inlineStr">
        <is>
          <t>The fragility argument, in real numbers from OriginMix.csv</t>
        </is>
      </c>
      <c r="B9" s="4" t="n"/>
      <c r="C9" s="4" t="n"/>
      <c r="D9" s="4" t="n"/>
      <c r="E9" s="4" t="n"/>
      <c r="F9" s="5" t="n"/>
    </row>
    <row r="10" ht="30" customHeight="1">
      <c r="A10" s="6" t="inlineStr">
        <is>
          <t>PDC</t>
        </is>
      </c>
      <c r="B10" s="6" t="inlineStr">
        <is>
          <t>own cluster %</t>
        </is>
      </c>
      <c r="C10" s="6" t="inlineStr">
        <is>
          <t>INNER %</t>
        </is>
      </c>
      <c r="D10" s="6" t="inlineStr">
        <is>
          <t>INTERSTATE %</t>
        </is>
      </c>
      <c r="E10" s="6" t="inlineStr">
        <is>
          <t>ratio</t>
        </is>
      </c>
      <c r="F10" s="6" t="inlineStr"/>
    </row>
    <row r="11">
      <c r="A11" s="7" t="inlineStr">
        <is>
          <t>PUD_Bayswater</t>
        </is>
      </c>
      <c r="B11" s="7" t="n">
        <v>17.73</v>
      </c>
      <c r="C11" s="7" t="n">
        <v>0.7</v>
      </c>
      <c r="D11" s="7" t="n">
        <v>68.83</v>
      </c>
      <c r="E11" s="7" t="n">
        <v>25.3</v>
      </c>
      <c r="F11" s="7" t="inlineStr"/>
    </row>
    <row r="12">
      <c r="A12" s="7" t="inlineStr">
        <is>
          <t>PUD_Darebin</t>
        </is>
      </c>
      <c r="B12" s="7" t="n">
        <v>3.21</v>
      </c>
      <c r="C12" s="7" t="n">
        <v>2.36</v>
      </c>
      <c r="D12" s="7" t="n">
        <v>81.89</v>
      </c>
      <c r="E12" s="7" t="n">
        <v>1.4</v>
      </c>
      <c r="F12" s="7" t="inlineStr"/>
    </row>
    <row r="14" ht="62" customHeight="1">
      <c r="A14" s="12" t="inlineStr">
        <is>
          <t>Bayswater is shown drawing ~25x more from its own cluster than from Inner. That ratio is ENTIRELY a product of ORIGIN_MIX_DECAY_KM = 20.0, a placeholder. Halve it and the matrix becomes far more local; double it and it flattens toward uniform. Every closure, consolidation and flow answer moves with it. So the OD model is ~6x larger AND its answer is a function of a number nobody has measured.</t>
        </is>
      </c>
      <c r="B14" s="13" t="n"/>
      <c r="C14" s="13" t="n"/>
      <c r="D14" s="13" t="n"/>
      <c r="E14" s="13" t="n"/>
      <c r="F14" s="13" t="n"/>
    </row>
    <row r="16">
      <c r="A16" s="3" t="inlineStr">
        <is>
          <t>The honest limitation of what we built</t>
        </is>
      </c>
      <c r="B16" s="4" t="n"/>
      <c r="C16" s="4" t="n"/>
      <c r="D16" s="4" t="n"/>
      <c r="E16" s="4" t="n"/>
      <c r="F16" s="5" t="n"/>
    </row>
    <row r="17" ht="62" customHeight="1">
      <c r="A17" s="30" t="inlineStr">
        <is>
          <t>A parcel lodged at Bayswater addressed to Sunshine West CANNOT be represented in the new model. Pickup either stays at its own site (the 20% keep) or leaves the state; there is no intra-Melbourne lodgement-to-delivery path. That follows from the spec ('all pickup terminates after one round'), not from the LOC/INT choice — but it is the thing to flag if anyone asks about cross-town flows.</t>
        </is>
      </c>
      <c r="B17" s="31" t="n"/>
      <c r="C17" s="31" t="n"/>
      <c r="D17" s="31" t="n"/>
      <c r="E17" s="31" t="n"/>
      <c r="F17" s="31" t="n"/>
    </row>
  </sheetData>
  <mergeCells count="6">
    <mergeCell ref="A2:F2"/>
    <mergeCell ref="A16:F16"/>
    <mergeCell ref="A14:F14"/>
    <mergeCell ref="A1:F1"/>
    <mergeCell ref="A9:F9"/>
    <mergeCell ref="A17:F17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31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2" customWidth="1" min="4" max="4"/>
    <col width="14" customWidth="1" min="5" max="5"/>
    <col width="14" customWidth="1" min="6" max="6"/>
    <col width="12" customWidth="1" min="7" max="7"/>
    <col width="40" customWidth="1" min="8" max="8"/>
  </cols>
  <sheetData>
    <row r="1">
      <c r="A1" s="1" t="inlineStr">
        <is>
          <t>OD approach — the two sourcing rules compared</t>
        </is>
      </c>
    </row>
    <row r="2" ht="28" customHeight="1">
      <c r="A2" s="2" t="inlineStr">
        <is>
          <t>Origin tagging is IDENTICAL in both. The only difference is what a locally lodged parcel is allowed to do: (A) be delivered anywhere in Melbourne via the gravity matrix, or (B) stay on its own site as stage, or leave the state.</t>
        </is>
      </c>
    </row>
    <row r="3" ht="30" customHeight="1">
      <c r="A3" s="6" t="inlineStr">
        <is>
          <t>Table</t>
        </is>
      </c>
      <c r="B3" s="6" t="inlineStr">
        <is>
          <t>A — 1 round</t>
        </is>
      </c>
      <c r="C3" s="6" t="inlineStr">
        <is>
          <t>A — 2 rounds</t>
        </is>
      </c>
      <c r="D3" s="6" t="inlineStr"/>
      <c r="E3" s="6" t="inlineStr">
        <is>
          <t>B — 1 round</t>
        </is>
      </c>
      <c r="F3" s="6" t="inlineStr">
        <is>
          <t>B — 2 rounds</t>
        </is>
      </c>
      <c r="G3" s="6" t="inlineStr">
        <is>
          <t>B vs A (2r)</t>
        </is>
      </c>
      <c r="H3" s="6" t="inlineStr">
        <is>
          <t>Reading</t>
        </is>
      </c>
    </row>
    <row r="4">
      <c r="A4" s="7" t="inlineStr">
        <is>
          <t>Products</t>
        </is>
      </c>
      <c r="B4" s="9" t="n">
        <v>108</v>
      </c>
      <c r="C4" s="9" t="n">
        <v>204</v>
      </c>
      <c r="D4" s="7" t="inlineStr"/>
      <c r="E4" s="9" t="n">
        <v>100</v>
      </c>
      <c r="F4" s="9" t="n">
        <v>172</v>
      </c>
      <c r="G4" s="7" t="inlineStr">
        <is>
          <t>-16%</t>
        </is>
      </c>
      <c r="H4" s="8" t="inlineStr">
        <is>
          <t>cluster tags are still carried on the pickup side, so this barely moves</t>
        </is>
      </c>
    </row>
    <row r="5">
      <c r="A5" s="7" t="inlineStr">
        <is>
          <t>BillOfMaterials</t>
        </is>
      </c>
      <c r="B5" s="9" t="n">
        <v>122</v>
      </c>
      <c r="C5" s="9" t="n">
        <v>218</v>
      </c>
      <c r="D5" s="7" t="inlineStr"/>
      <c r="E5" s="9" t="n">
        <v>114</v>
      </c>
      <c r="F5" s="9" t="n">
        <v>162</v>
      </c>
      <c r="G5" s="7" t="inlineStr">
        <is>
          <t>-26%</t>
        </is>
      </c>
      <c r="H5" s="8" t="inlineStr">
        <is>
          <t>cluster tags are still carried on the pickup side, so this barely moves</t>
        </is>
      </c>
    </row>
    <row r="6">
      <c r="A6" s="7" t="inlineStr">
        <is>
          <t>ProductionPolicies</t>
        </is>
      </c>
      <c r="B6" s="9" t="n">
        <v>724</v>
      </c>
      <c r="C6" s="9" t="n">
        <v>1652</v>
      </c>
      <c r="D6" s="7" t="inlineStr"/>
      <c r="E6" s="9" t="n">
        <v>576</v>
      </c>
      <c r="F6" s="9" t="n">
        <v>1040</v>
      </c>
      <c r="G6" s="7" t="inlineStr">
        <is>
          <t>-37%</t>
        </is>
      </c>
      <c r="H6" s="8" t="inlineStr">
        <is>
          <t>cluster tags are still carried on the pickup side, so this barely moves</t>
        </is>
      </c>
    </row>
    <row r="7">
      <c r="A7" s="10" t="inlineStr">
        <is>
          <t>CustomerDemand</t>
        </is>
      </c>
      <c r="B7" s="11" t="n">
        <v>12434</v>
      </c>
      <c r="C7" s="11" t="n">
        <v>12434</v>
      </c>
      <c r="D7" s="10" t="inlineStr"/>
      <c r="E7" s="11" t="n">
        <v>3053</v>
      </c>
      <c r="F7" s="11" t="n">
        <v>3053</v>
      </c>
      <c r="G7" s="10" t="inlineStr">
        <is>
          <t>-75%</t>
        </is>
      </c>
      <c r="H7" s="18" t="inlineStr">
        <is>
          <t>the whole model lives here</t>
        </is>
      </c>
    </row>
    <row r="8">
      <c r="A8" s="10" t="inlineStr">
        <is>
          <t>TransportationPolicies</t>
        </is>
      </c>
      <c r="B8" s="11" t="n">
        <v>19914</v>
      </c>
      <c r="C8" s="11" t="n">
        <v>20490</v>
      </c>
      <c r="D8" s="10" t="inlineStr"/>
      <c r="E8" s="11" t="n">
        <v>4450</v>
      </c>
      <c r="F8" s="11" t="n">
        <v>4738</v>
      </c>
      <c r="G8" s="10" t="inlineStr">
        <is>
          <t>-77%</t>
        </is>
      </c>
      <c r="H8" s="18" t="inlineStr">
        <is>
          <t>the whole model lives here</t>
        </is>
      </c>
    </row>
    <row r="9">
      <c r="A9" s="7" t="inlineStr">
        <is>
          <t>ReplenishmentPolicies</t>
        </is>
      </c>
      <c r="B9" s="9" t="n">
        <v>760</v>
      </c>
      <c r="C9" s="9" t="n">
        <v>952</v>
      </c>
      <c r="D9" s="7" t="inlineStr"/>
      <c r="E9" s="9" t="n">
        <v>168</v>
      </c>
      <c r="F9" s="9" t="n">
        <v>264</v>
      </c>
      <c r="G9" s="7" t="inlineStr">
        <is>
          <t>-72%</t>
        </is>
      </c>
      <c r="H9" s="8" t="inlineStr">
        <is>
          <t>cluster tags are still carried on the pickup side, so this barely moves</t>
        </is>
      </c>
    </row>
    <row r="10">
      <c r="A10" s="19" t="inlineStr">
        <is>
          <t>numbers we must INVENT</t>
        </is>
      </c>
      <c r="B10" s="20" t="n">
        <v>88</v>
      </c>
      <c r="C10" s="20" t="n">
        <v>88</v>
      </c>
      <c r="D10" s="19" t="inlineStr"/>
      <c r="E10" s="20" t="n">
        <v>0</v>
      </c>
      <c r="F10" s="20" t="n">
        <v>0</v>
      </c>
      <c r="G10" s="19" t="inlineStr">
        <is>
          <t>-100%</t>
        </is>
      </c>
      <c r="H10" s="32" t="inlineStr">
        <is>
          <t>A needs the full per-PDC x per-origin gravity matrix. B DERIVES it: a pinned diagonal at the staging PDCs plus one INTERSTATE column.</t>
        </is>
      </c>
    </row>
    <row r="12">
      <c r="A12" s="3" t="inlineStr">
        <is>
          <t>Where the reduction actually happens — lanes, leg by leg (2 rounds)</t>
        </is>
      </c>
      <c r="B12" s="4" t="n"/>
      <c r="C12" s="4" t="n"/>
      <c r="D12" s="4" t="n"/>
      <c r="E12" s="4" t="n"/>
      <c r="F12" s="4" t="n"/>
      <c r="G12" s="4" t="n"/>
      <c r="H12" s="5" t="n"/>
    </row>
    <row r="13" ht="30" customHeight="1">
      <c r="A13" s="6" t="inlineStr">
        <is>
          <t>Leg</t>
        </is>
      </c>
      <c r="B13" s="6" t="inlineStr">
        <is>
          <t>A</t>
        </is>
      </c>
      <c r="C13" s="6" t="inlineStr"/>
      <c r="D13" s="6" t="inlineStr"/>
      <c r="E13" s="6" t="inlineStr">
        <is>
          <t>B</t>
        </is>
      </c>
      <c r="F13" s="6" t="inlineStr"/>
      <c r="G13" s="6" t="inlineStr">
        <is>
          <t>change</t>
        </is>
      </c>
      <c r="H13" s="6" t="inlineStr">
        <is>
          <t>Why</t>
        </is>
      </c>
    </row>
    <row r="14">
      <c r="A14" s="7" t="inlineStr">
        <is>
          <t>pickup: catchment-&gt;PDC</t>
        </is>
      </c>
      <c r="B14" s="9" t="n">
        <v>822</v>
      </c>
      <c r="C14" s="7" t="inlineStr"/>
      <c r="D14" s="7" t="inlineStr"/>
      <c r="E14" s="9" t="n">
        <v>822</v>
      </c>
      <c r="F14" s="7" t="inlineStr"/>
      <c r="G14" s="7" t="inlineStr">
        <is>
          <t>+0%</t>
        </is>
      </c>
      <c r="H14" s="8" t="inlineStr">
        <is>
          <t>upstream of the hub — the tag is CREATED here either way</t>
        </is>
      </c>
    </row>
    <row r="15">
      <c r="A15" s="7" t="inlineStr">
        <is>
          <t>linehaul: PDC-&gt;hub (raw pickup)</t>
        </is>
      </c>
      <c r="B15" s="9" t="n">
        <v>168</v>
      </c>
      <c r="C15" s="7" t="inlineStr"/>
      <c r="D15" s="7" t="inlineStr"/>
      <c r="E15" s="9" t="n">
        <v>168</v>
      </c>
      <c r="F15" s="7" t="inlineStr"/>
      <c r="G15" s="7" t="inlineStr">
        <is>
          <t>+0%</t>
        </is>
      </c>
      <c r="H15" s="8" t="inlineStr">
        <is>
          <t>upstream — unchanged</t>
        </is>
      </c>
    </row>
    <row r="16">
      <c r="A16" s="7" t="inlineStr">
        <is>
          <t>interstate handover: hub-&gt;sink</t>
        </is>
      </c>
      <c r="B16" s="9" t="n">
        <v>56</v>
      </c>
      <c r="C16" s="7" t="inlineStr"/>
      <c r="D16" s="7" t="inlineStr"/>
      <c r="E16" s="9" t="n">
        <v>56</v>
      </c>
      <c r="F16" s="7" t="inlineStr"/>
      <c r="G16" s="7" t="inlineStr">
        <is>
          <t>+0%</t>
        </is>
      </c>
      <c r="H16" s="8" t="inlineStr">
        <is>
          <t>upstream — unchanged</t>
        </is>
      </c>
    </row>
    <row r="17">
      <c r="A17" s="7" t="inlineStr">
        <is>
          <t>linehaul: hub-&gt;hub (Despatch1, 2nd sort)</t>
        </is>
      </c>
      <c r="B17" s="9" t="n">
        <v>576</v>
      </c>
      <c r="C17" s="7" t="inlineStr"/>
      <c r="D17" s="7" t="inlineStr"/>
      <c r="E17" s="9" t="n">
        <v>288</v>
      </c>
      <c r="F17" s="7" t="inlineStr"/>
      <c r="G17" s="7" t="inlineStr">
        <is>
          <t>-50%</t>
        </is>
      </c>
      <c r="H17" s="8" t="inlineStr">
        <is>
          <t>downstream — carries DLV_TAGS: 8 -&gt; 4</t>
        </is>
      </c>
    </row>
    <row r="18">
      <c r="A18" s="7" t="inlineStr">
        <is>
          <t>linehaul: hub-&gt;PDC (despatch)</t>
        </is>
      </c>
      <c r="B18" s="9" t="n">
        <v>2112</v>
      </c>
      <c r="C18" s="7" t="inlineStr"/>
      <c r="D18" s="7" t="inlineStr"/>
      <c r="E18" s="9" t="n">
        <v>336</v>
      </c>
      <c r="F18" s="7" t="inlineStr"/>
      <c r="G18" s="7" t="inlineStr">
        <is>
          <t>-84%</t>
        </is>
      </c>
      <c r="H18" s="8" t="inlineStr">
        <is>
          <t>downstream — carries zone_tags(d): 8 -&gt; 1 or 2</t>
        </is>
      </c>
    </row>
    <row r="19">
      <c r="A19" s="10" t="inlineStr">
        <is>
          <t>delivery: PDC-&gt;zone</t>
        </is>
      </c>
      <c r="B19" s="11" t="n">
        <v>16736</v>
      </c>
      <c r="C19" s="10" t="inlineStr"/>
      <c r="D19" s="10" t="inlineStr"/>
      <c r="E19" s="11" t="n">
        <v>3048</v>
      </c>
      <c r="F19" s="10" t="inlineStr"/>
      <c r="G19" s="10" t="inlineStr">
        <is>
          <t>-82%</t>
        </is>
      </c>
      <c r="H19" s="18" t="inlineStr">
        <is>
          <t>downstream — the biggest table in the model</t>
        </is>
      </c>
    </row>
    <row r="21" ht="46" customHeight="1">
      <c r="A21" s="12" t="inlineStr">
        <is>
          <t>Everything UPSTREAM of the hub is byte-identical. Everything DOWNSTREAM collapses. Rule B says a parcel not kept on its own site leaves the state, so only 4 tags (3 staging clusters + INTERSTATE) can exist past the hub instead of 8 — and at any single zone only 1 or 2 of them can.</t>
        </is>
      </c>
      <c r="B21" s="13" t="n"/>
      <c r="C21" s="13" t="n"/>
      <c r="D21" s="13" t="n"/>
      <c r="E21" s="13" t="n"/>
      <c r="F21" s="13" t="n"/>
      <c r="G21" s="13" t="n"/>
      <c r="H21" s="13" t="n"/>
    </row>
    <row r="23">
      <c r="A23" s="3" t="inlineStr">
        <is>
          <t>The equations behind the delivery leg</t>
        </is>
      </c>
      <c r="B23" s="4" t="n"/>
      <c r="C23" s="4" t="n"/>
      <c r="D23" s="4" t="n"/>
      <c r="E23" s="4" t="n"/>
      <c r="F23" s="4" t="n"/>
      <c r="G23" s="4" t="n"/>
      <c r="H23" s="5" t="n"/>
    </row>
    <row r="24" ht="30" customHeight="1">
      <c r="A24" s="6" t="inlineStr">
        <is>
          <t>Rule</t>
        </is>
      </c>
      <c r="B24" s="6" t="inlineStr">
        <is>
          <t>zone_tags(pud)</t>
        </is>
      </c>
      <c r="C24" s="6" t="inlineStr">
        <is>
          <t>Equation</t>
        </is>
      </c>
      <c r="D24" s="6" t="inlineStr"/>
      <c r="E24" s="6" t="inlineStr">
        <is>
          <t>Lanes</t>
        </is>
      </c>
      <c r="F24" s="6" t="inlineStr"/>
      <c r="G24" s="6" t="inlineStr"/>
      <c r="H24" s="6" t="inlineStr">
        <is>
          <t>Meaning</t>
        </is>
      </c>
    </row>
    <row r="25">
      <c r="A25" s="7" t="inlineStr">
        <is>
          <t>A  origin_mix</t>
        </is>
      </c>
      <c r="B25" s="7" t="inlineStr">
        <is>
          <t>all 8 tags</t>
        </is>
      </c>
      <c r="C25" s="14" t="inlineStr">
        <is>
          <t>Z x C x T</t>
        </is>
      </c>
      <c r="D25" s="7" t="inlineStr"/>
      <c r="E25" s="9" t="n">
        <v>16736</v>
      </c>
      <c r="F25" s="7" t="inlineStr"/>
      <c r="G25" s="7" t="inlineStr"/>
      <c r="H25" s="8" t="inlineStr">
        <is>
          <t>any origin may serve any zone</t>
        </is>
      </c>
    </row>
    <row r="26">
      <c r="A26" s="10" t="inlineStr">
        <is>
          <t>B  interstate+stage</t>
        </is>
      </c>
      <c r="B26" s="18" t="inlineStr">
        <is>
          <t>own tag if the PDC stages, else none, + INTERSTATE</t>
        </is>
      </c>
      <c r="C26" s="16" t="inlineStr">
        <is>
          <t>sum_z |zone_tags| x C</t>
        </is>
      </c>
      <c r="D26" s="10" t="inlineStr"/>
      <c r="E26" s="11" t="n">
        <v>3048</v>
      </c>
      <c r="F26" s="10" t="inlineStr"/>
      <c r="G26" s="10" t="inlineStr"/>
      <c r="H26" s="18" t="inlineStr">
        <is>
          <t>478 zones sit under a staging PDC and get 2 origins; the other 568 get INTERSTATE only</t>
        </is>
      </c>
    </row>
    <row r="28">
      <c r="A28" s="3" t="inlineStr">
        <is>
          <t>What rule B costs you, and the connection to what we built</t>
        </is>
      </c>
      <c r="B28" s="4" t="n"/>
      <c r="C28" s="4" t="n"/>
      <c r="D28" s="4" t="n"/>
      <c r="E28" s="4" t="n"/>
      <c r="F28" s="4" t="n"/>
      <c r="G28" s="4" t="n"/>
      <c r="H28" s="5" t="n"/>
    </row>
    <row r="29" ht="48" customHeight="1">
      <c r="A29" s="12" t="inlineStr">
        <is>
          <t>COST OF B: a parcel lodged at Bayswater for a Sunshine West address cannot be represented at all. The first mile becomes ~100% export and the middle mile ~100% interstate-fed. Rule A can represent it — but only by inventing how much of it there is.</t>
        </is>
      </c>
      <c r="B29" s="13" t="n"/>
      <c r="C29" s="13" t="n"/>
      <c r="D29" s="13" t="n"/>
      <c r="E29" s="13" t="n"/>
      <c r="F29" s="13" t="n"/>
      <c r="G29" s="13" t="n"/>
      <c r="H29" s="13" t="n"/>
    </row>
    <row r="30" ht="48" customHeight="1">
      <c r="A30" s="12" t="inlineStr">
        <is>
          <t>BALANCE SIDE-EFFECT OF B: with delivery fed only by arrivals + stage, the identity closes for ANY pickup total, so P stops being determined and becomes a free dial. That is what PICKUP_BALANCE (hold_pickup / conserve_supply) exists to pin.</t>
        </is>
      </c>
      <c r="B30" s="13" t="n"/>
      <c r="C30" s="13" t="n"/>
      <c r="D30" s="13" t="n"/>
      <c r="E30" s="13" t="n"/>
      <c r="F30" s="13" t="n"/>
      <c r="G30" s="13" t="n"/>
      <c r="H30" s="13" t="n"/>
    </row>
    <row r="31" ht="48" customHeight="1">
      <c r="A31" s="12" t="inlineStr">
        <is>
          <t>THE CONNECTION: under rule B, at any given zone the origin tag only ever distinguishes 'my own PDC's stage' from 'interstate'. That is a 2-WAY distinction wearing an 8-way costume. Our LOC/INT notebook is exactly rule B with the redundant cluster tags removed — which is why it lands at 30 products and 3,286 lanes instead of 172 and 4,738.</t>
        </is>
      </c>
      <c r="B31" s="13" t="n"/>
      <c r="C31" s="13" t="n"/>
      <c r="D31" s="13" t="n"/>
      <c r="E31" s="13" t="n"/>
      <c r="F31" s="13" t="n"/>
      <c r="G31" s="13" t="n"/>
      <c r="H31" s="13" t="n"/>
    </row>
  </sheetData>
  <mergeCells count="9">
    <mergeCell ref="A12:H12"/>
    <mergeCell ref="A21:H21"/>
    <mergeCell ref="A30:H30"/>
    <mergeCell ref="A29:H29"/>
    <mergeCell ref="A2:H2"/>
    <mergeCell ref="A28:H28"/>
    <mergeCell ref="A1:H1"/>
    <mergeCell ref="A23:H23"/>
    <mergeCell ref="A31:H3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2026-07-31T02:03:58Z</dcterms:created>
  <dcterms:modified xmlns:dcterms="http://purl.org/dc/terms/" xmlns:xsi="http://www.w3.org/2001/XMLSchema-instance" xsi:type="dcterms:W3CDTF">2026-07-31T02:03:58Z</dcterms:modified>
</cp:coreProperties>
</file>